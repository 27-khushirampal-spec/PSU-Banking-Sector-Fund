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HUSHI\Desktop\"/>
    </mc:Choice>
  </mc:AlternateContent>
  <xr:revisionPtr revIDLastSave="0" documentId="13_ncr:1_{1DCABFF8-0A74-4290-82B3-1F7A1A929F58}" xr6:coauthVersionLast="47" xr6:coauthVersionMax="47" xr10:uidLastSave="{00000000-0000-0000-0000-000000000000}"/>
  <bookViews>
    <workbookView xWindow="-110" yWindow="-110" windowWidth="19420" windowHeight="10300" tabRatio="941" firstSheet="5" activeTab="9" xr2:uid="{00000000-000D-0000-FFFF-FFFF00000000}"/>
  </bookViews>
  <sheets>
    <sheet name="Banking Sector - PSU" sheetId="1" r:id="rId1"/>
    <sheet name="RATIOS" sheetId="2" r:id="rId2"/>
    <sheet name="Co's Over-Under Valued" sheetId="3" r:id="rId3"/>
    <sheet name="SECTOR FUND &amp; AUM" sheetId="4" r:id="rId4"/>
    <sheet name="INDEX &amp; NAV" sheetId="10" r:id="rId5"/>
    <sheet name="WORKING" sheetId="11" r:id="rId6"/>
    <sheet name="TechnicalAnalysis_LongTerm" sheetId="5" r:id="rId7"/>
    <sheet name="TechnicalAnalysis_SwingTrading" sheetId="6" r:id="rId8"/>
    <sheet name="TechnicalAnalysis_Short Term" sheetId="7" r:id="rId9"/>
    <sheet name="TechnicalAnalysis_Conclusion" sheetId="9" r:id="rId10"/>
  </sheets>
  <definedNames>
    <definedName name="_xlnm._FilterDatabase" localSheetId="0" hidden="1">'Banking Sector - PSU'!$B$6:$I$20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0" l="1"/>
  <c r="E54" i="10"/>
  <c r="E53" i="10"/>
  <c r="E52" i="10"/>
  <c r="E51" i="10"/>
  <c r="E49" i="10"/>
  <c r="E48" i="10"/>
  <c r="E47" i="10"/>
  <c r="E46" i="10"/>
  <c r="E45" i="10"/>
  <c r="E43" i="10"/>
  <c r="E42" i="10"/>
  <c r="E41" i="10"/>
  <c r="E40" i="10"/>
  <c r="D55" i="10"/>
  <c r="D54" i="10"/>
  <c r="D53" i="10"/>
  <c r="D52" i="10"/>
  <c r="D51" i="10"/>
  <c r="D49" i="10"/>
  <c r="D48" i="10"/>
  <c r="D47" i="10"/>
  <c r="D46" i="10"/>
  <c r="D45" i="10"/>
  <c r="D43" i="10"/>
  <c r="D42" i="10"/>
  <c r="D41" i="10"/>
  <c r="D40" i="10"/>
  <c r="FT18" i="1"/>
  <c r="FT17" i="1"/>
  <c r="FT16" i="1"/>
  <c r="FT15" i="1"/>
  <c r="FT14" i="1"/>
  <c r="FT13" i="1"/>
  <c r="FT12" i="1"/>
  <c r="FT11" i="1"/>
  <c r="FT10" i="1"/>
  <c r="FT9" i="1"/>
  <c r="FT8" i="1"/>
  <c r="FT7" i="1"/>
  <c r="DL44" i="4"/>
  <c r="DI44" i="4"/>
  <c r="DF44" i="4"/>
  <c r="DC44" i="4"/>
  <c r="CZ44" i="4"/>
  <c r="DM42" i="4"/>
  <c r="DJ42" i="4"/>
  <c r="DG42" i="4"/>
  <c r="DD42" i="4"/>
  <c r="DA42" i="4"/>
  <c r="DM41" i="4"/>
  <c r="DJ41" i="4"/>
  <c r="DG41" i="4"/>
  <c r="DD41" i="4"/>
  <c r="DA41" i="4"/>
  <c r="DM40" i="4"/>
  <c r="DJ40" i="4"/>
  <c r="DG40" i="4"/>
  <c r="DD40" i="4"/>
  <c r="DA40" i="4"/>
  <c r="DM39" i="4"/>
  <c r="DJ39" i="4"/>
  <c r="DG39" i="4"/>
  <c r="DD39" i="4"/>
  <c r="DA39" i="4"/>
  <c r="DM38" i="4"/>
  <c r="DJ38" i="4"/>
  <c r="DG38" i="4"/>
  <c r="DD38" i="4"/>
  <c r="DA38" i="4"/>
  <c r="DM37" i="4"/>
  <c r="DJ37" i="4"/>
  <c r="DG37" i="4"/>
  <c r="DD37" i="4"/>
  <c r="DA37" i="4"/>
  <c r="DM36" i="4"/>
  <c r="DJ36" i="4"/>
  <c r="DG36" i="4"/>
  <c r="DD36" i="4"/>
  <c r="DA36" i="4"/>
  <c r="DM35" i="4"/>
  <c r="DJ35" i="4"/>
  <c r="DG35" i="4"/>
  <c r="DD35" i="4"/>
  <c r="DA35" i="4"/>
  <c r="DM34" i="4"/>
  <c r="DJ34" i="4"/>
  <c r="DG34" i="4"/>
  <c r="DD34" i="4"/>
  <c r="DA34" i="4"/>
  <c r="DM33" i="4"/>
  <c r="DJ33" i="4"/>
  <c r="DG33" i="4"/>
  <c r="DD33" i="4"/>
  <c r="DA33" i="4"/>
  <c r="DM32" i="4"/>
  <c r="DJ32" i="4"/>
  <c r="DG32" i="4"/>
  <c r="DD32" i="4"/>
  <c r="DA32" i="4"/>
  <c r="DM31" i="4"/>
  <c r="DJ31" i="4"/>
  <c r="DG31" i="4"/>
  <c r="DD31" i="4"/>
  <c r="DA31" i="4"/>
  <c r="CW44" i="4"/>
  <c r="CT44" i="4"/>
  <c r="CQ44" i="4"/>
  <c r="CN44" i="4"/>
  <c r="CK44" i="4"/>
  <c r="CX42" i="4"/>
  <c r="CU42" i="4"/>
  <c r="CR42" i="4"/>
  <c r="CO42" i="4"/>
  <c r="CL42" i="4"/>
  <c r="CX41" i="4"/>
  <c r="CU41" i="4"/>
  <c r="CR41" i="4"/>
  <c r="CO41" i="4"/>
  <c r="CL41" i="4"/>
  <c r="CX40" i="4"/>
  <c r="CU40" i="4"/>
  <c r="CR40" i="4"/>
  <c r="CO40" i="4"/>
  <c r="CL40" i="4"/>
  <c r="CX39" i="4"/>
  <c r="CU39" i="4"/>
  <c r="CR39" i="4"/>
  <c r="CO39" i="4"/>
  <c r="CL39" i="4"/>
  <c r="CX38" i="4"/>
  <c r="CU38" i="4"/>
  <c r="CR38" i="4"/>
  <c r="CO38" i="4"/>
  <c r="CL38" i="4"/>
  <c r="CX37" i="4"/>
  <c r="CU37" i="4"/>
  <c r="CR37" i="4"/>
  <c r="CO37" i="4"/>
  <c r="CL37" i="4"/>
  <c r="CX36" i="4"/>
  <c r="CU36" i="4"/>
  <c r="CR36" i="4"/>
  <c r="CO36" i="4"/>
  <c r="CL36" i="4"/>
  <c r="CX35" i="4"/>
  <c r="CU35" i="4"/>
  <c r="CR35" i="4"/>
  <c r="CO35" i="4"/>
  <c r="CL35" i="4"/>
  <c r="CX34" i="4"/>
  <c r="CU34" i="4"/>
  <c r="CR34" i="4"/>
  <c r="CO34" i="4"/>
  <c r="CL34" i="4"/>
  <c r="CX33" i="4"/>
  <c r="CU33" i="4"/>
  <c r="CR33" i="4"/>
  <c r="CO33" i="4"/>
  <c r="CL33" i="4"/>
  <c r="CX32" i="4"/>
  <c r="CU32" i="4"/>
  <c r="CR32" i="4"/>
  <c r="CO32" i="4"/>
  <c r="CL32" i="4"/>
  <c r="CX31" i="4"/>
  <c r="CU31" i="4"/>
  <c r="CR31" i="4"/>
  <c r="CO31" i="4"/>
  <c r="CL31" i="4"/>
  <c r="CH44" i="4"/>
  <c r="CE44" i="4"/>
  <c r="CB44" i="4"/>
  <c r="BY44" i="4"/>
  <c r="CI42" i="4"/>
  <c r="CF42" i="4"/>
  <c r="CC42" i="4"/>
  <c r="BZ42" i="4"/>
  <c r="CI41" i="4"/>
  <c r="CF41" i="4"/>
  <c r="CC41" i="4"/>
  <c r="BZ41" i="4"/>
  <c r="CI40" i="4"/>
  <c r="CF40" i="4"/>
  <c r="CC40" i="4"/>
  <c r="BZ40" i="4"/>
  <c r="CI39" i="4"/>
  <c r="CF39" i="4"/>
  <c r="CC39" i="4"/>
  <c r="BZ39" i="4"/>
  <c r="CI38" i="4"/>
  <c r="CF38" i="4"/>
  <c r="CC38" i="4"/>
  <c r="BZ38" i="4"/>
  <c r="CI37" i="4"/>
  <c r="CF37" i="4"/>
  <c r="CC37" i="4"/>
  <c r="BZ37" i="4"/>
  <c r="CI36" i="4"/>
  <c r="CF36" i="4"/>
  <c r="CC36" i="4"/>
  <c r="BZ36" i="4"/>
  <c r="CI35" i="4"/>
  <c r="CF35" i="4"/>
  <c r="CC35" i="4"/>
  <c r="BZ35" i="4"/>
  <c r="CI34" i="4"/>
  <c r="CF34" i="4"/>
  <c r="CC34" i="4"/>
  <c r="BZ34" i="4"/>
  <c r="CI33" i="4"/>
  <c r="CF33" i="4"/>
  <c r="CC33" i="4"/>
  <c r="BZ33" i="4"/>
  <c r="CI32" i="4"/>
  <c r="CF32" i="4"/>
  <c r="CC32" i="4"/>
  <c r="BZ32" i="4"/>
  <c r="CI31" i="4"/>
  <c r="CF31" i="4"/>
  <c r="CC31" i="4"/>
  <c r="BZ31" i="4"/>
  <c r="HM18" i="1"/>
  <c r="HN18" i="1" s="1"/>
  <c r="HH18" i="1"/>
  <c r="HC18" i="1"/>
  <c r="GX18" i="1"/>
  <c r="GS18" i="1"/>
  <c r="HM17" i="1"/>
  <c r="HN17" i="1" s="1"/>
  <c r="HH17" i="1"/>
  <c r="HC17" i="1"/>
  <c r="GX17" i="1"/>
  <c r="GS17" i="1"/>
  <c r="HM16" i="1"/>
  <c r="HN16" i="1" s="1"/>
  <c r="HH16" i="1"/>
  <c r="HC16" i="1"/>
  <c r="GX16" i="1"/>
  <c r="GS16" i="1"/>
  <c r="HM15" i="1"/>
  <c r="HN15" i="1" s="1"/>
  <c r="HH15" i="1"/>
  <c r="HC15" i="1"/>
  <c r="GX15" i="1"/>
  <c r="GS15" i="1"/>
  <c r="HM14" i="1"/>
  <c r="HN14" i="1" s="1"/>
  <c r="HH14" i="1"/>
  <c r="HC14" i="1"/>
  <c r="GX14" i="1"/>
  <c r="GS14" i="1"/>
  <c r="HM13" i="1"/>
  <c r="HN13" i="1" s="1"/>
  <c r="HH13" i="1"/>
  <c r="HC13" i="1"/>
  <c r="GX13" i="1"/>
  <c r="GS13" i="1"/>
  <c r="HM12" i="1"/>
  <c r="HN12" i="1" s="1"/>
  <c r="HH12" i="1"/>
  <c r="HC12" i="1"/>
  <c r="GX12" i="1"/>
  <c r="GS12" i="1"/>
  <c r="HM11" i="1"/>
  <c r="HN11" i="1" s="1"/>
  <c r="HH11" i="1"/>
  <c r="HC11" i="1"/>
  <c r="GX11" i="1"/>
  <c r="GS11" i="1"/>
  <c r="HM10" i="1"/>
  <c r="HN10" i="1" s="1"/>
  <c r="HH10" i="1"/>
  <c r="HC10" i="1"/>
  <c r="GX10" i="1"/>
  <c r="GS10" i="1"/>
  <c r="HM9" i="1"/>
  <c r="HN9" i="1" s="1"/>
  <c r="HH9" i="1"/>
  <c r="HC9" i="1"/>
  <c r="GX9" i="1"/>
  <c r="GS9" i="1"/>
  <c r="HM8" i="1"/>
  <c r="HN8" i="1" s="1"/>
  <c r="HH8" i="1"/>
  <c r="HC8" i="1"/>
  <c r="GX8" i="1"/>
  <c r="GS8" i="1"/>
  <c r="HM7" i="1"/>
  <c r="HN7" i="1" s="1"/>
  <c r="HH7" i="1"/>
  <c r="HC7" i="1"/>
  <c r="GX7" i="1"/>
  <c r="GS7" i="1"/>
  <c r="GN18" i="1"/>
  <c r="GO18" i="1" s="1"/>
  <c r="GI18" i="1"/>
  <c r="GD18" i="1"/>
  <c r="FY18" i="1"/>
  <c r="GN17" i="1"/>
  <c r="GO17" i="1" s="1"/>
  <c r="GI17" i="1"/>
  <c r="GD17" i="1"/>
  <c r="FY17" i="1"/>
  <c r="GN16" i="1"/>
  <c r="GO16" i="1" s="1"/>
  <c r="GI16" i="1"/>
  <c r="GD16" i="1"/>
  <c r="FY16" i="1"/>
  <c r="GN15" i="1"/>
  <c r="GO15" i="1" s="1"/>
  <c r="GI15" i="1"/>
  <c r="GD15" i="1"/>
  <c r="FY15" i="1"/>
  <c r="GN14" i="1"/>
  <c r="GO14" i="1" s="1"/>
  <c r="GI14" i="1"/>
  <c r="GD14" i="1"/>
  <c r="FY14" i="1"/>
  <c r="GN13" i="1"/>
  <c r="GO13" i="1" s="1"/>
  <c r="GI13" i="1"/>
  <c r="GD13" i="1"/>
  <c r="FY13" i="1"/>
  <c r="GN12" i="1"/>
  <c r="GO12" i="1" s="1"/>
  <c r="GI12" i="1"/>
  <c r="GD12" i="1"/>
  <c r="FY12" i="1"/>
  <c r="GN11" i="1"/>
  <c r="GO11" i="1" s="1"/>
  <c r="GI11" i="1"/>
  <c r="GD11" i="1"/>
  <c r="FY11" i="1"/>
  <c r="GN10" i="1"/>
  <c r="GO10" i="1" s="1"/>
  <c r="GI10" i="1"/>
  <c r="GD10" i="1"/>
  <c r="FY10" i="1"/>
  <c r="GN9" i="1"/>
  <c r="GO9" i="1" s="1"/>
  <c r="GI9" i="1"/>
  <c r="GD9" i="1"/>
  <c r="FY9" i="1"/>
  <c r="GN8" i="1"/>
  <c r="GO8" i="1" s="1"/>
  <c r="GI8" i="1"/>
  <c r="GD8" i="1"/>
  <c r="FY8" i="1"/>
  <c r="GN7" i="1"/>
  <c r="GO7" i="1" s="1"/>
  <c r="GI7" i="1"/>
  <c r="GD7" i="1"/>
  <c r="FY7" i="1"/>
  <c r="FO18" i="1"/>
  <c r="FJ18" i="1"/>
  <c r="FE18" i="1"/>
  <c r="EZ18" i="1"/>
  <c r="FO17" i="1"/>
  <c r="FJ17" i="1"/>
  <c r="FE17" i="1"/>
  <c r="EZ17" i="1"/>
  <c r="FO16" i="1"/>
  <c r="FJ16" i="1"/>
  <c r="FE16" i="1"/>
  <c r="EZ16" i="1"/>
  <c r="FO15" i="1"/>
  <c r="FJ15" i="1"/>
  <c r="FE15" i="1"/>
  <c r="EZ15" i="1"/>
  <c r="FO14" i="1"/>
  <c r="FJ14" i="1"/>
  <c r="FE14" i="1"/>
  <c r="EZ14" i="1"/>
  <c r="FO13" i="1"/>
  <c r="FJ13" i="1"/>
  <c r="FE13" i="1"/>
  <c r="EZ13" i="1"/>
  <c r="FO12" i="1"/>
  <c r="FJ12" i="1"/>
  <c r="FE12" i="1"/>
  <c r="EZ12" i="1"/>
  <c r="FO11" i="1"/>
  <c r="FJ11" i="1"/>
  <c r="FE11" i="1"/>
  <c r="EZ11" i="1"/>
  <c r="FO10" i="1"/>
  <c r="FJ10" i="1"/>
  <c r="FE10" i="1"/>
  <c r="EZ10" i="1"/>
  <c r="FO9" i="1"/>
  <c r="FJ9" i="1"/>
  <c r="FE9" i="1"/>
  <c r="EZ9" i="1"/>
  <c r="FO8" i="1"/>
  <c r="FJ8" i="1"/>
  <c r="FE8" i="1"/>
  <c r="EZ8" i="1"/>
  <c r="FO7" i="1"/>
  <c r="FJ7" i="1"/>
  <c r="FE7" i="1"/>
  <c r="EZ7" i="1"/>
  <c r="BV44" i="4"/>
  <c r="BS44" i="4"/>
  <c r="BP44" i="4"/>
  <c r="BM44" i="4"/>
  <c r="BJ44" i="4"/>
  <c r="BW42" i="4"/>
  <c r="BT42" i="4"/>
  <c r="BQ42" i="4"/>
  <c r="BN42" i="4"/>
  <c r="BK42" i="4"/>
  <c r="BW41" i="4"/>
  <c r="BT41" i="4"/>
  <c r="BQ41" i="4"/>
  <c r="BN41" i="4"/>
  <c r="BK41" i="4"/>
  <c r="BW40" i="4"/>
  <c r="BT40" i="4"/>
  <c r="BQ40" i="4"/>
  <c r="BN40" i="4"/>
  <c r="BK40" i="4"/>
  <c r="BW39" i="4"/>
  <c r="BT39" i="4"/>
  <c r="BQ39" i="4"/>
  <c r="BN39" i="4"/>
  <c r="BK39" i="4"/>
  <c r="BW38" i="4"/>
  <c r="BT38" i="4"/>
  <c r="BQ38" i="4"/>
  <c r="BN38" i="4"/>
  <c r="BK38" i="4"/>
  <c r="BW37" i="4"/>
  <c r="BT37" i="4"/>
  <c r="BQ37" i="4"/>
  <c r="BN37" i="4"/>
  <c r="BK37" i="4"/>
  <c r="BW36" i="4"/>
  <c r="BT36" i="4"/>
  <c r="BQ36" i="4"/>
  <c r="BN36" i="4"/>
  <c r="BK36" i="4"/>
  <c r="BW35" i="4"/>
  <c r="BT35" i="4"/>
  <c r="BQ35" i="4"/>
  <c r="BN35" i="4"/>
  <c r="BK35" i="4"/>
  <c r="BW34" i="4"/>
  <c r="BT34" i="4"/>
  <c r="BQ34" i="4"/>
  <c r="BN34" i="4"/>
  <c r="BK34" i="4"/>
  <c r="BW33" i="4"/>
  <c r="BT33" i="4"/>
  <c r="BQ33" i="4"/>
  <c r="BN33" i="4"/>
  <c r="BK33" i="4"/>
  <c r="BW32" i="4"/>
  <c r="BT32" i="4"/>
  <c r="BQ32" i="4"/>
  <c r="BN32" i="4"/>
  <c r="BK32" i="4"/>
  <c r="BW31" i="4"/>
  <c r="BT31" i="4"/>
  <c r="BQ31" i="4"/>
  <c r="BN31" i="4"/>
  <c r="BK31" i="4"/>
  <c r="EA7" i="1"/>
  <c r="EU18" i="1"/>
  <c r="EV18" i="1" s="1"/>
  <c r="EP18" i="1"/>
  <c r="EK18" i="1"/>
  <c r="EF18" i="1"/>
  <c r="EA18" i="1"/>
  <c r="EU17" i="1"/>
  <c r="EV17" i="1" s="1"/>
  <c r="EP17" i="1"/>
  <c r="EK17" i="1"/>
  <c r="EF17" i="1"/>
  <c r="EA17" i="1"/>
  <c r="EU16" i="1"/>
  <c r="EV16" i="1" s="1"/>
  <c r="EP16" i="1"/>
  <c r="EK16" i="1"/>
  <c r="EF16" i="1"/>
  <c r="EA16" i="1"/>
  <c r="EU15" i="1"/>
  <c r="EV15" i="1" s="1"/>
  <c r="EP15" i="1"/>
  <c r="EK15" i="1"/>
  <c r="EF15" i="1"/>
  <c r="EA15" i="1"/>
  <c r="EU14" i="1"/>
  <c r="EV14" i="1" s="1"/>
  <c r="EP14" i="1"/>
  <c r="EK14" i="1"/>
  <c r="EF14" i="1"/>
  <c r="EA14" i="1"/>
  <c r="EU13" i="1"/>
  <c r="EV13" i="1" s="1"/>
  <c r="EP13" i="1"/>
  <c r="EK13" i="1"/>
  <c r="EF13" i="1"/>
  <c r="EA13" i="1"/>
  <c r="EU12" i="1"/>
  <c r="EV12" i="1" s="1"/>
  <c r="EP12" i="1"/>
  <c r="EK12" i="1"/>
  <c r="EF12" i="1"/>
  <c r="EA12" i="1"/>
  <c r="EU11" i="1"/>
  <c r="EV11" i="1" s="1"/>
  <c r="EP11" i="1"/>
  <c r="EK11" i="1"/>
  <c r="EF11" i="1"/>
  <c r="EA11" i="1"/>
  <c r="EU10" i="1"/>
  <c r="EV10" i="1" s="1"/>
  <c r="EP10" i="1"/>
  <c r="EK10" i="1"/>
  <c r="EF10" i="1"/>
  <c r="EA10" i="1"/>
  <c r="EU9" i="1"/>
  <c r="EV9" i="1" s="1"/>
  <c r="EP9" i="1"/>
  <c r="EK9" i="1"/>
  <c r="EF9" i="1"/>
  <c r="EA9" i="1"/>
  <c r="EU8" i="1"/>
  <c r="EV8" i="1" s="1"/>
  <c r="EP8" i="1"/>
  <c r="EK8" i="1"/>
  <c r="EF8" i="1"/>
  <c r="EA8" i="1"/>
  <c r="EU7" i="1"/>
  <c r="EV7" i="1" s="1"/>
  <c r="EP7" i="1"/>
  <c r="EK7" i="1"/>
  <c r="EF7" i="1"/>
  <c r="DV18" i="1"/>
  <c r="DW18" i="1" s="1"/>
  <c r="DQ18" i="1"/>
  <c r="DL18" i="1"/>
  <c r="DG18" i="1"/>
  <c r="DB18" i="1"/>
  <c r="DV17" i="1"/>
  <c r="DW17" i="1" s="1"/>
  <c r="DQ17" i="1"/>
  <c r="DL17" i="1"/>
  <c r="DG17" i="1"/>
  <c r="DB17" i="1"/>
  <c r="DV16" i="1"/>
  <c r="DW16" i="1" s="1"/>
  <c r="DQ16" i="1"/>
  <c r="DL16" i="1"/>
  <c r="DG16" i="1"/>
  <c r="DB16" i="1"/>
  <c r="DV15" i="1"/>
  <c r="DW15" i="1" s="1"/>
  <c r="DQ15" i="1"/>
  <c r="DL15" i="1"/>
  <c r="DG15" i="1"/>
  <c r="DB15" i="1"/>
  <c r="DV14" i="1"/>
  <c r="DW14" i="1" s="1"/>
  <c r="DQ14" i="1"/>
  <c r="DL14" i="1"/>
  <c r="DG14" i="1"/>
  <c r="DB14" i="1"/>
  <c r="DV13" i="1"/>
  <c r="DW13" i="1" s="1"/>
  <c r="DQ13" i="1"/>
  <c r="DL13" i="1"/>
  <c r="DG13" i="1"/>
  <c r="DB13" i="1"/>
  <c r="DV12" i="1"/>
  <c r="DW12" i="1" s="1"/>
  <c r="DQ12" i="1"/>
  <c r="DL12" i="1"/>
  <c r="DG12" i="1"/>
  <c r="DB12" i="1"/>
  <c r="DV11" i="1"/>
  <c r="DW11" i="1" s="1"/>
  <c r="DQ11" i="1"/>
  <c r="DL11" i="1"/>
  <c r="DG11" i="1"/>
  <c r="DB11" i="1"/>
  <c r="DV10" i="1"/>
  <c r="DW10" i="1" s="1"/>
  <c r="DQ10" i="1"/>
  <c r="DL10" i="1"/>
  <c r="DG10" i="1"/>
  <c r="DB10" i="1"/>
  <c r="DV9" i="1"/>
  <c r="DW9" i="1" s="1"/>
  <c r="DQ9" i="1"/>
  <c r="DL9" i="1"/>
  <c r="DG9" i="1"/>
  <c r="DB9" i="1"/>
  <c r="DV8" i="1"/>
  <c r="DW8" i="1" s="1"/>
  <c r="DQ8" i="1"/>
  <c r="DL8" i="1"/>
  <c r="DG8" i="1"/>
  <c r="DB8" i="1"/>
  <c r="DV7" i="1"/>
  <c r="DW7" i="1" s="1"/>
  <c r="DQ7" i="1"/>
  <c r="DL7" i="1"/>
  <c r="DG7" i="1"/>
  <c r="DB7" i="1"/>
  <c r="BG44" i="4"/>
  <c r="BD44" i="4"/>
  <c r="BA44" i="4"/>
  <c r="AX44" i="4"/>
  <c r="AU44" i="4"/>
  <c r="BH42" i="4"/>
  <c r="BE42" i="4"/>
  <c r="BB42" i="4"/>
  <c r="AY42" i="4"/>
  <c r="AV42" i="4"/>
  <c r="BH41" i="4"/>
  <c r="BE41" i="4"/>
  <c r="BB41" i="4"/>
  <c r="AY41" i="4"/>
  <c r="AV41" i="4"/>
  <c r="BH40" i="4"/>
  <c r="BE40" i="4"/>
  <c r="BB40" i="4"/>
  <c r="AY40" i="4"/>
  <c r="AV40" i="4"/>
  <c r="BH39" i="4"/>
  <c r="BE39" i="4"/>
  <c r="BB39" i="4"/>
  <c r="AY39" i="4"/>
  <c r="AV39" i="4"/>
  <c r="BH38" i="4"/>
  <c r="BE38" i="4"/>
  <c r="BB38" i="4"/>
  <c r="AY38" i="4"/>
  <c r="AV38" i="4"/>
  <c r="BH37" i="4"/>
  <c r="BE37" i="4"/>
  <c r="BB37" i="4"/>
  <c r="AY37" i="4"/>
  <c r="AV37" i="4"/>
  <c r="BH36" i="4"/>
  <c r="BE36" i="4"/>
  <c r="BB36" i="4"/>
  <c r="AY36" i="4"/>
  <c r="AV36" i="4"/>
  <c r="BH35" i="4"/>
  <c r="BE35" i="4"/>
  <c r="BB35" i="4"/>
  <c r="AY35" i="4"/>
  <c r="AV35" i="4"/>
  <c r="BH34" i="4"/>
  <c r="BE34" i="4"/>
  <c r="BB34" i="4"/>
  <c r="AY34" i="4"/>
  <c r="AV34" i="4"/>
  <c r="BH33" i="4"/>
  <c r="BE33" i="4"/>
  <c r="BB33" i="4"/>
  <c r="AY33" i="4"/>
  <c r="AV33" i="4"/>
  <c r="BH32" i="4"/>
  <c r="BE32" i="4"/>
  <c r="BB32" i="4"/>
  <c r="AY32" i="4"/>
  <c r="AV32" i="4"/>
  <c r="BH31" i="4"/>
  <c r="BE31" i="4"/>
  <c r="BB31" i="4"/>
  <c r="AY31" i="4"/>
  <c r="AV31" i="4"/>
  <c r="AS32" i="4"/>
  <c r="AS33" i="4"/>
  <c r="AS34" i="4"/>
  <c r="AS35" i="4"/>
  <c r="AS36" i="4"/>
  <c r="AS37" i="4"/>
  <c r="AS38" i="4"/>
  <c r="AS39" i="4"/>
  <c r="AS40" i="4"/>
  <c r="AS41" i="4"/>
  <c r="AS42" i="4"/>
  <c r="CO44" i="4" l="1"/>
  <c r="CO46" i="4" s="1"/>
  <c r="CL44" i="4"/>
  <c r="CL46" i="4" s="1"/>
  <c r="DG44" i="4"/>
  <c r="DG46" i="4" s="1"/>
  <c r="DD44" i="4"/>
  <c r="DD46" i="4" s="1"/>
  <c r="HN19" i="1"/>
  <c r="HN21" i="1" s="1"/>
  <c r="DA44" i="4"/>
  <c r="DA46" i="4" s="1"/>
  <c r="GO19" i="1"/>
  <c r="GO21" i="1" s="1"/>
  <c r="CR44" i="4"/>
  <c r="CR46" i="4" s="1"/>
  <c r="DM44" i="4"/>
  <c r="DM46" i="4" s="1"/>
  <c r="DJ44" i="4"/>
  <c r="DJ46" i="4" s="1"/>
  <c r="CX44" i="4"/>
  <c r="CX46" i="4" s="1"/>
  <c r="CU44" i="4"/>
  <c r="CU46" i="4" s="1"/>
  <c r="BZ44" i="4"/>
  <c r="BZ46" i="4" s="1"/>
  <c r="CF44" i="4"/>
  <c r="CF46" i="4" s="1"/>
  <c r="CI44" i="4"/>
  <c r="CI46" i="4" s="1"/>
  <c r="CC44" i="4"/>
  <c r="CC46" i="4" s="1"/>
  <c r="BW44" i="4"/>
  <c r="BW46" i="4" s="1"/>
  <c r="E38" i="10" s="1"/>
  <c r="BT44" i="4"/>
  <c r="BT46" i="4" s="1"/>
  <c r="E37" i="10" s="1"/>
  <c r="BQ44" i="4"/>
  <c r="BQ46" i="4" s="1"/>
  <c r="E36" i="10" s="1"/>
  <c r="BN44" i="4"/>
  <c r="BN46" i="4" s="1"/>
  <c r="E35" i="10" s="1"/>
  <c r="BK44" i="4"/>
  <c r="BK46" i="4" s="1"/>
  <c r="E34" i="10" s="1"/>
  <c r="EV19" i="1"/>
  <c r="EV21" i="1" s="1"/>
  <c r="D38" i="10" s="1"/>
  <c r="DW19" i="1"/>
  <c r="DW21" i="1" s="1"/>
  <c r="D32" i="10" s="1"/>
  <c r="BH44" i="4"/>
  <c r="BH46" i="4" s="1"/>
  <c r="E32" i="10" s="1"/>
  <c r="BE44" i="4"/>
  <c r="BE46" i="4" s="1"/>
  <c r="E31" i="10" s="1"/>
  <c r="BB44" i="4"/>
  <c r="BB46" i="4" s="1"/>
  <c r="E30" i="10" s="1"/>
  <c r="AY44" i="4"/>
  <c r="AY46" i="4" s="1"/>
  <c r="E29" i="10" s="1"/>
  <c r="AV44" i="4"/>
  <c r="AV46" i="4" s="1"/>
  <c r="E28" i="10" s="1"/>
  <c r="AR44" i="4"/>
  <c r="AO44" i="4"/>
  <c r="AL44" i="4"/>
  <c r="AI44" i="4"/>
  <c r="AF44" i="4"/>
  <c r="AP42" i="4"/>
  <c r="AM42" i="4"/>
  <c r="AJ42" i="4"/>
  <c r="AG42" i="4"/>
  <c r="AP41" i="4"/>
  <c r="AM41" i="4"/>
  <c r="AJ41" i="4"/>
  <c r="AG41" i="4"/>
  <c r="AP40" i="4"/>
  <c r="AM40" i="4"/>
  <c r="AJ40" i="4"/>
  <c r="AG40" i="4"/>
  <c r="AP39" i="4"/>
  <c r="AM39" i="4"/>
  <c r="AJ39" i="4"/>
  <c r="AG39" i="4"/>
  <c r="AP38" i="4"/>
  <c r="AM38" i="4"/>
  <c r="AJ38" i="4"/>
  <c r="AG38" i="4"/>
  <c r="AP37" i="4"/>
  <c r="AM37" i="4"/>
  <c r="AJ37" i="4"/>
  <c r="AG37" i="4"/>
  <c r="AP36" i="4"/>
  <c r="AM36" i="4"/>
  <c r="AJ36" i="4"/>
  <c r="AG36" i="4"/>
  <c r="AP35" i="4"/>
  <c r="AM35" i="4"/>
  <c r="AJ35" i="4"/>
  <c r="AG35" i="4"/>
  <c r="AP34" i="4"/>
  <c r="AM34" i="4"/>
  <c r="AJ34" i="4"/>
  <c r="AG34" i="4"/>
  <c r="AP33" i="4"/>
  <c r="AM33" i="4"/>
  <c r="AJ33" i="4"/>
  <c r="AG33" i="4"/>
  <c r="AP32" i="4"/>
  <c r="AM32" i="4"/>
  <c r="AJ32" i="4"/>
  <c r="AG32" i="4"/>
  <c r="AS31" i="4"/>
  <c r="AP31" i="4"/>
  <c r="AM31" i="4"/>
  <c r="AJ31" i="4"/>
  <c r="AG31" i="4"/>
  <c r="AC44" i="4"/>
  <c r="AD42" i="4"/>
  <c r="AD41" i="4"/>
  <c r="AD40" i="4"/>
  <c r="AD39" i="4"/>
  <c r="AD38" i="4"/>
  <c r="AD37" i="4"/>
  <c r="AD36" i="4"/>
  <c r="AD35" i="4"/>
  <c r="AD34" i="4"/>
  <c r="AD33" i="4"/>
  <c r="AD32" i="4"/>
  <c r="AD31" i="4"/>
  <c r="Z44" i="4"/>
  <c r="AA42" i="4"/>
  <c r="AA41" i="4"/>
  <c r="AA40" i="4"/>
  <c r="AA39" i="4"/>
  <c r="AA38" i="4"/>
  <c r="AA37" i="4"/>
  <c r="AA36" i="4"/>
  <c r="AA35" i="4"/>
  <c r="AA34" i="4"/>
  <c r="AA33" i="4"/>
  <c r="AA32" i="4"/>
  <c r="AA31" i="4"/>
  <c r="CW18" i="1"/>
  <c r="CX18" i="1" s="1"/>
  <c r="CW17" i="1"/>
  <c r="CX17" i="1" s="1"/>
  <c r="CW16" i="1"/>
  <c r="CX16" i="1" s="1"/>
  <c r="CW15" i="1"/>
  <c r="CX15" i="1" s="1"/>
  <c r="CW14" i="1"/>
  <c r="CX14" i="1" s="1"/>
  <c r="CW13" i="1"/>
  <c r="CX13" i="1" s="1"/>
  <c r="CW12" i="1"/>
  <c r="CX12" i="1" s="1"/>
  <c r="CW11" i="1"/>
  <c r="CX11" i="1" s="1"/>
  <c r="CW10" i="1"/>
  <c r="CX10" i="1" s="1"/>
  <c r="CW9" i="1"/>
  <c r="CX9" i="1" s="1"/>
  <c r="CW8" i="1"/>
  <c r="CX8" i="1" s="1"/>
  <c r="CW7" i="1"/>
  <c r="CX7" i="1" s="1"/>
  <c r="CR18" i="1"/>
  <c r="CR17" i="1"/>
  <c r="CR16" i="1"/>
  <c r="CR15" i="1"/>
  <c r="CR14" i="1"/>
  <c r="CR13" i="1"/>
  <c r="CR12" i="1"/>
  <c r="CR11" i="1"/>
  <c r="CR10" i="1"/>
  <c r="CR9" i="1"/>
  <c r="CR8" i="1"/>
  <c r="CR7" i="1"/>
  <c r="CM18" i="1"/>
  <c r="CM17" i="1"/>
  <c r="CM16" i="1"/>
  <c r="CM15" i="1"/>
  <c r="CM14" i="1"/>
  <c r="CM13" i="1"/>
  <c r="CM12" i="1"/>
  <c r="CM11" i="1"/>
  <c r="CM10" i="1"/>
  <c r="CM9" i="1"/>
  <c r="CM8" i="1"/>
  <c r="CM7" i="1"/>
  <c r="CH18" i="1"/>
  <c r="CH17" i="1"/>
  <c r="CH16" i="1"/>
  <c r="CH15" i="1"/>
  <c r="CH14" i="1"/>
  <c r="CH13" i="1"/>
  <c r="CH12" i="1"/>
  <c r="CH11" i="1"/>
  <c r="CH10" i="1"/>
  <c r="CH9" i="1"/>
  <c r="CH8" i="1"/>
  <c r="CH7" i="1"/>
  <c r="CC18" i="1"/>
  <c r="CC17" i="1"/>
  <c r="CC16" i="1"/>
  <c r="CC15" i="1"/>
  <c r="CC14" i="1"/>
  <c r="CC13" i="1"/>
  <c r="CC12" i="1"/>
  <c r="CC11" i="1"/>
  <c r="CC10" i="1"/>
  <c r="CC9" i="1"/>
  <c r="CC8" i="1"/>
  <c r="CC7" i="1"/>
  <c r="BX7" i="1"/>
  <c r="BX18" i="1"/>
  <c r="BX17" i="1"/>
  <c r="BX16" i="1"/>
  <c r="BX15" i="1"/>
  <c r="BX14" i="1"/>
  <c r="BX13" i="1"/>
  <c r="BX12" i="1"/>
  <c r="BX11" i="1"/>
  <c r="BX10" i="1"/>
  <c r="BX9" i="1"/>
  <c r="BX8" i="1"/>
  <c r="BS18" i="1"/>
  <c r="BS7" i="1"/>
  <c r="BS8" i="1"/>
  <c r="BS9" i="1"/>
  <c r="BS10" i="1"/>
  <c r="BS11" i="1"/>
  <c r="BS12" i="1"/>
  <c r="BS13" i="1"/>
  <c r="BS14" i="1"/>
  <c r="BS15" i="1"/>
  <c r="BS16" i="1"/>
  <c r="BS17" i="1"/>
  <c r="W44" i="4"/>
  <c r="X42" i="4"/>
  <c r="X41" i="4"/>
  <c r="X40" i="4"/>
  <c r="X39" i="4"/>
  <c r="X38" i="4"/>
  <c r="X37" i="4"/>
  <c r="X36" i="4"/>
  <c r="X35" i="4"/>
  <c r="X34" i="4"/>
  <c r="X33" i="4"/>
  <c r="X32" i="4"/>
  <c r="X31" i="4"/>
  <c r="T44" i="4"/>
  <c r="U42" i="4"/>
  <c r="U41" i="4"/>
  <c r="U40" i="4"/>
  <c r="U39" i="4"/>
  <c r="U38" i="4"/>
  <c r="U37" i="4"/>
  <c r="U36" i="4"/>
  <c r="U35" i="4"/>
  <c r="U34" i="4"/>
  <c r="U33" i="4"/>
  <c r="U32" i="4"/>
  <c r="U31" i="4"/>
  <c r="BN18" i="1"/>
  <c r="BN17" i="1"/>
  <c r="BN16" i="1"/>
  <c r="BN15" i="1"/>
  <c r="BN14" i="1"/>
  <c r="BN13" i="1"/>
  <c r="BN12" i="1"/>
  <c r="BN11" i="1"/>
  <c r="BN10" i="1"/>
  <c r="BN9" i="1"/>
  <c r="BN8" i="1"/>
  <c r="BN7" i="1"/>
  <c r="BI18" i="1"/>
  <c r="BI17" i="1"/>
  <c r="BI16" i="1"/>
  <c r="BI15" i="1"/>
  <c r="BI14" i="1"/>
  <c r="BI13" i="1"/>
  <c r="BI12" i="1"/>
  <c r="BI11" i="1"/>
  <c r="BI10" i="1"/>
  <c r="BI9" i="1"/>
  <c r="BI8" i="1"/>
  <c r="BI7" i="1"/>
  <c r="AT11" i="1"/>
  <c r="Q44" i="4"/>
  <c r="R42" i="4"/>
  <c r="R41" i="4"/>
  <c r="R40" i="4"/>
  <c r="R39" i="4"/>
  <c r="R38" i="4"/>
  <c r="R37" i="4"/>
  <c r="R36" i="4"/>
  <c r="R35" i="4"/>
  <c r="R34" i="4"/>
  <c r="R33" i="4"/>
  <c r="R32" i="4"/>
  <c r="R31" i="4"/>
  <c r="N44" i="4"/>
  <c r="O42" i="4"/>
  <c r="O41" i="4"/>
  <c r="O40" i="4"/>
  <c r="O39" i="4"/>
  <c r="O38" i="4"/>
  <c r="O37" i="4"/>
  <c r="O36" i="4"/>
  <c r="O35" i="4"/>
  <c r="O34" i="4"/>
  <c r="O33" i="4"/>
  <c r="O32" i="4"/>
  <c r="O31" i="4"/>
  <c r="K44" i="4"/>
  <c r="L42" i="4"/>
  <c r="L41" i="4"/>
  <c r="L40" i="4"/>
  <c r="L39" i="4"/>
  <c r="L38" i="4"/>
  <c r="L37" i="4"/>
  <c r="L36" i="4"/>
  <c r="L35" i="4"/>
  <c r="L34" i="4"/>
  <c r="L33" i="4"/>
  <c r="L32" i="4"/>
  <c r="L31" i="4"/>
  <c r="H44" i="4"/>
  <c r="I42" i="4"/>
  <c r="I41" i="4"/>
  <c r="I40" i="4"/>
  <c r="I39" i="4"/>
  <c r="I38" i="4"/>
  <c r="I37" i="4"/>
  <c r="I36" i="4"/>
  <c r="I35" i="4"/>
  <c r="I34" i="4"/>
  <c r="I33" i="4"/>
  <c r="I32" i="4"/>
  <c r="I31" i="4"/>
  <c r="E44" i="4"/>
  <c r="F42" i="4"/>
  <c r="F41" i="4"/>
  <c r="F40" i="4"/>
  <c r="F39" i="4"/>
  <c r="F38" i="4"/>
  <c r="F37" i="4"/>
  <c r="F36" i="4"/>
  <c r="F35" i="4"/>
  <c r="F34" i="4"/>
  <c r="F33" i="4"/>
  <c r="F32" i="4"/>
  <c r="F31" i="4"/>
  <c r="AO7" i="1"/>
  <c r="BD18" i="1"/>
  <c r="BD17" i="1"/>
  <c r="BD16" i="1"/>
  <c r="BD15" i="1"/>
  <c r="BD14" i="1"/>
  <c r="BD13" i="1"/>
  <c r="BD12" i="1"/>
  <c r="BD11" i="1"/>
  <c r="BD10" i="1"/>
  <c r="BD9" i="1"/>
  <c r="BD8" i="1"/>
  <c r="BD7" i="1"/>
  <c r="AY18" i="1"/>
  <c r="AY17" i="1"/>
  <c r="AY16" i="1"/>
  <c r="AY15" i="1"/>
  <c r="AY14" i="1"/>
  <c r="AY13" i="1"/>
  <c r="AY12" i="1"/>
  <c r="AY11" i="1"/>
  <c r="AY10" i="1"/>
  <c r="AY9" i="1"/>
  <c r="AY8" i="1"/>
  <c r="AY7" i="1"/>
  <c r="AT18" i="1"/>
  <c r="AT17" i="1"/>
  <c r="AT16" i="1"/>
  <c r="AT15" i="1"/>
  <c r="AT14" i="1"/>
  <c r="AT13" i="1"/>
  <c r="AT12" i="1"/>
  <c r="AT10" i="1"/>
  <c r="AT9" i="1"/>
  <c r="AT8" i="1"/>
  <c r="AT7" i="1"/>
  <c r="AO18" i="1"/>
  <c r="AO17" i="1"/>
  <c r="AO16" i="1"/>
  <c r="AO15" i="1"/>
  <c r="AO14" i="1"/>
  <c r="AO13" i="1"/>
  <c r="AO12" i="1"/>
  <c r="AO11" i="1"/>
  <c r="AO10" i="1"/>
  <c r="AO9" i="1"/>
  <c r="AO8" i="1"/>
  <c r="AJ18" i="1"/>
  <c r="AJ17" i="1"/>
  <c r="AJ16" i="1"/>
  <c r="AJ15" i="1"/>
  <c r="AJ14" i="1"/>
  <c r="AJ13" i="1"/>
  <c r="AJ12" i="1"/>
  <c r="AJ11" i="1"/>
  <c r="AJ10" i="1"/>
  <c r="AJ9" i="1"/>
  <c r="AJ8" i="1"/>
  <c r="AJ7" i="1"/>
  <c r="F17" i="4"/>
  <c r="E17" i="4" s="1"/>
  <c r="F16" i="4"/>
  <c r="E16" i="4" s="1"/>
  <c r="F15" i="4"/>
  <c r="E15" i="4" s="1"/>
  <c r="F14" i="4"/>
  <c r="E14" i="4" s="1"/>
  <c r="F13" i="4"/>
  <c r="E13" i="4" s="1"/>
  <c r="F12" i="4"/>
  <c r="E12" i="4" s="1"/>
  <c r="F11" i="4"/>
  <c r="E11" i="4" s="1"/>
  <c r="F10" i="4"/>
  <c r="E10" i="4" s="1"/>
  <c r="F9" i="4"/>
  <c r="E9" i="4"/>
  <c r="F8" i="4"/>
  <c r="E8" i="4" s="1"/>
  <c r="F7" i="4"/>
  <c r="E7" i="4" s="1"/>
  <c r="F6" i="4"/>
  <c r="E6" i="4" s="1"/>
  <c r="U61" i="3"/>
  <c r="W61" i="3" s="1"/>
  <c r="U60" i="3"/>
  <c r="W60" i="3" s="1"/>
  <c r="U59" i="3"/>
  <c r="W59" i="3" s="1"/>
  <c r="U58" i="3"/>
  <c r="W58" i="3" s="1"/>
  <c r="U57" i="3"/>
  <c r="W57" i="3" s="1"/>
  <c r="U56" i="3"/>
  <c r="W56" i="3" s="1"/>
  <c r="U55" i="3"/>
  <c r="W55" i="3" s="1"/>
  <c r="U54" i="3"/>
  <c r="W54" i="3" s="1"/>
  <c r="U53" i="3"/>
  <c r="W53" i="3" s="1"/>
  <c r="U52" i="3"/>
  <c r="W52" i="3" s="1"/>
  <c r="U51" i="3"/>
  <c r="W51" i="3" s="1"/>
  <c r="U50" i="3"/>
  <c r="W50" i="3" s="1"/>
  <c r="Q61" i="3"/>
  <c r="S61" i="3" s="1"/>
  <c r="Q60" i="3"/>
  <c r="S60" i="3" s="1"/>
  <c r="Q59" i="3"/>
  <c r="S59" i="3" s="1"/>
  <c r="Q58" i="3"/>
  <c r="S58" i="3" s="1"/>
  <c r="Q57" i="3"/>
  <c r="S57" i="3" s="1"/>
  <c r="Q56" i="3"/>
  <c r="S56" i="3" s="1"/>
  <c r="Q55" i="3"/>
  <c r="S55" i="3" s="1"/>
  <c r="Q54" i="3"/>
  <c r="S54" i="3" s="1"/>
  <c r="Q53" i="3"/>
  <c r="S53" i="3" s="1"/>
  <c r="Q52" i="3"/>
  <c r="S52" i="3" s="1"/>
  <c r="Q51" i="3"/>
  <c r="S51" i="3" s="1"/>
  <c r="Q50" i="3"/>
  <c r="S50" i="3" s="1"/>
  <c r="M61" i="3"/>
  <c r="O61" i="3" s="1"/>
  <c r="M60" i="3"/>
  <c r="O60" i="3" s="1"/>
  <c r="M59" i="3"/>
  <c r="O59" i="3" s="1"/>
  <c r="M58" i="3"/>
  <c r="O58" i="3" s="1"/>
  <c r="M57" i="3"/>
  <c r="O57" i="3" s="1"/>
  <c r="M56" i="3"/>
  <c r="O56" i="3" s="1"/>
  <c r="M55" i="3"/>
  <c r="O55" i="3" s="1"/>
  <c r="M54" i="3"/>
  <c r="O54" i="3" s="1"/>
  <c r="M53" i="3"/>
  <c r="O53" i="3" s="1"/>
  <c r="M52" i="3"/>
  <c r="O52" i="3" s="1"/>
  <c r="M51" i="3"/>
  <c r="O51" i="3" s="1"/>
  <c r="M50" i="3"/>
  <c r="O50" i="3" s="1"/>
  <c r="I61" i="3"/>
  <c r="K61" i="3" s="1"/>
  <c r="I60" i="3"/>
  <c r="K60" i="3" s="1"/>
  <c r="I59" i="3"/>
  <c r="K59" i="3" s="1"/>
  <c r="I58" i="3"/>
  <c r="K58" i="3" s="1"/>
  <c r="I57" i="3"/>
  <c r="K57" i="3" s="1"/>
  <c r="I56" i="3"/>
  <c r="K56" i="3" s="1"/>
  <c r="I55" i="3"/>
  <c r="K55" i="3" s="1"/>
  <c r="I54" i="3"/>
  <c r="K54" i="3" s="1"/>
  <c r="I53" i="3"/>
  <c r="K53" i="3" s="1"/>
  <c r="I52" i="3"/>
  <c r="K52" i="3" s="1"/>
  <c r="I51" i="3"/>
  <c r="K51" i="3" s="1"/>
  <c r="I50" i="3"/>
  <c r="K50" i="3" s="1"/>
  <c r="E61" i="3"/>
  <c r="G61" i="3" s="1"/>
  <c r="E60" i="3"/>
  <c r="G60" i="3" s="1"/>
  <c r="E59" i="3"/>
  <c r="G59" i="3" s="1"/>
  <c r="E58" i="3"/>
  <c r="G58" i="3" s="1"/>
  <c r="E57" i="3"/>
  <c r="G57" i="3" s="1"/>
  <c r="E56" i="3"/>
  <c r="G56" i="3" s="1"/>
  <c r="E55" i="3"/>
  <c r="G55" i="3" s="1"/>
  <c r="E54" i="3"/>
  <c r="G54" i="3" s="1"/>
  <c r="E53" i="3"/>
  <c r="G53" i="3" s="1"/>
  <c r="E52" i="3"/>
  <c r="G52" i="3" s="1"/>
  <c r="E51" i="3"/>
  <c r="G51" i="3" s="1"/>
  <c r="E50" i="3"/>
  <c r="G50" i="3" s="1"/>
  <c r="AE18" i="1"/>
  <c r="AE17" i="1"/>
  <c r="AE16" i="1"/>
  <c r="AE15" i="1"/>
  <c r="AE14" i="1"/>
  <c r="AE13" i="1"/>
  <c r="AE12" i="1"/>
  <c r="AE11" i="1"/>
  <c r="AE10" i="1"/>
  <c r="AE9" i="1"/>
  <c r="AE8" i="1"/>
  <c r="AE7" i="1"/>
  <c r="Z18" i="1"/>
  <c r="Z17" i="1"/>
  <c r="Z16" i="1"/>
  <c r="Z15" i="1"/>
  <c r="Z14" i="1"/>
  <c r="Z13" i="1"/>
  <c r="Z12" i="1"/>
  <c r="Z11" i="1"/>
  <c r="Z10" i="1"/>
  <c r="Z9" i="1"/>
  <c r="Z8" i="1"/>
  <c r="Z7" i="1"/>
  <c r="M27" i="3"/>
  <c r="M28" i="3"/>
  <c r="M29" i="3"/>
  <c r="M30" i="3"/>
  <c r="M31" i="3"/>
  <c r="M32" i="3"/>
  <c r="M33" i="3"/>
  <c r="M34" i="3"/>
  <c r="M35" i="3"/>
  <c r="M36" i="3"/>
  <c r="M37" i="3"/>
  <c r="M26" i="3"/>
  <c r="K27" i="3"/>
  <c r="K28" i="3"/>
  <c r="K29" i="3"/>
  <c r="K30" i="3"/>
  <c r="K31" i="3"/>
  <c r="K32" i="3"/>
  <c r="K33" i="3"/>
  <c r="K34" i="3"/>
  <c r="K35" i="3"/>
  <c r="K36" i="3"/>
  <c r="K37" i="3"/>
  <c r="K26" i="3"/>
  <c r="I27" i="3"/>
  <c r="I28" i="3"/>
  <c r="I29" i="3"/>
  <c r="I30" i="3"/>
  <c r="I31" i="3"/>
  <c r="I32" i="3"/>
  <c r="I33" i="3"/>
  <c r="I34" i="3"/>
  <c r="I35" i="3"/>
  <c r="I36" i="3"/>
  <c r="I37" i="3"/>
  <c r="I26" i="3"/>
  <c r="G27" i="3"/>
  <c r="G28" i="3"/>
  <c r="G29" i="3"/>
  <c r="G30" i="3"/>
  <c r="G31" i="3"/>
  <c r="G32" i="3"/>
  <c r="G33" i="3"/>
  <c r="G34" i="3"/>
  <c r="G35" i="3"/>
  <c r="G36" i="3"/>
  <c r="G37" i="3"/>
  <c r="G26" i="3"/>
  <c r="E27" i="3"/>
  <c r="N27" i="3" s="1"/>
  <c r="E28" i="3"/>
  <c r="N28" i="3" s="1"/>
  <c r="E29" i="3"/>
  <c r="N29" i="3" s="1"/>
  <c r="E30" i="3"/>
  <c r="N30" i="3" s="1"/>
  <c r="E31" i="3"/>
  <c r="N31" i="3" s="1"/>
  <c r="E32" i="3"/>
  <c r="N32" i="3" s="1"/>
  <c r="E33" i="3"/>
  <c r="N33" i="3" s="1"/>
  <c r="E34" i="3"/>
  <c r="N34" i="3" s="1"/>
  <c r="E35" i="3"/>
  <c r="N35" i="3" s="1"/>
  <c r="E36" i="3"/>
  <c r="N36" i="3" s="1"/>
  <c r="E37" i="3"/>
  <c r="N37" i="3" s="1"/>
  <c r="E26" i="3"/>
  <c r="N26" i="3" s="1"/>
  <c r="U8" i="1"/>
  <c r="U9" i="1"/>
  <c r="U10" i="1"/>
  <c r="U11" i="1"/>
  <c r="U12" i="1"/>
  <c r="U13" i="1"/>
  <c r="U14" i="1"/>
  <c r="U15" i="1"/>
  <c r="U16" i="1"/>
  <c r="U17" i="1"/>
  <c r="U18" i="1"/>
  <c r="U7" i="1"/>
  <c r="P8" i="1"/>
  <c r="P9" i="1"/>
  <c r="P10" i="1"/>
  <c r="P11" i="1"/>
  <c r="P12" i="1"/>
  <c r="P13" i="1"/>
  <c r="P14" i="1"/>
  <c r="P15" i="1"/>
  <c r="P16" i="1"/>
  <c r="P17" i="1"/>
  <c r="P18" i="1"/>
  <c r="P7" i="1"/>
  <c r="R9" i="3"/>
  <c r="R10" i="3"/>
  <c r="R11" i="3"/>
  <c r="R12" i="3"/>
  <c r="R13" i="3"/>
  <c r="R14" i="3"/>
  <c r="R8" i="3"/>
  <c r="O9" i="3"/>
  <c r="O10" i="3"/>
  <c r="O11" i="3"/>
  <c r="O12" i="3"/>
  <c r="O13" i="3"/>
  <c r="O14" i="3"/>
  <c r="O8" i="3"/>
  <c r="L8" i="1"/>
  <c r="FV8" i="1" s="1"/>
  <c r="L9" i="1"/>
  <c r="FV9" i="1" s="1"/>
  <c r="FV19" i="1" s="1"/>
  <c r="L10" i="1"/>
  <c r="FV10" i="1" s="1"/>
  <c r="L11" i="1"/>
  <c r="FV11" i="1" s="1"/>
  <c r="L12" i="1"/>
  <c r="FV12" i="1" s="1"/>
  <c r="L13" i="1"/>
  <c r="FV13" i="1" s="1"/>
  <c r="L14" i="1"/>
  <c r="FV14" i="1" s="1"/>
  <c r="L15" i="1"/>
  <c r="FV15" i="1" s="1"/>
  <c r="L16" i="1"/>
  <c r="FV16" i="1" s="1"/>
  <c r="L17" i="1"/>
  <c r="FV17" i="1" s="1"/>
  <c r="L18" i="1"/>
  <c r="FV18" i="1" s="1"/>
  <c r="L7" i="1"/>
  <c r="FV7" i="1" s="1"/>
  <c r="J18" i="1"/>
  <c r="J8" i="1"/>
  <c r="J9" i="1"/>
  <c r="J10" i="1"/>
  <c r="J11" i="1"/>
  <c r="J12" i="1"/>
  <c r="J13" i="1"/>
  <c r="J14" i="1"/>
  <c r="J15" i="1"/>
  <c r="J16" i="1"/>
  <c r="J17" i="1"/>
  <c r="J7" i="1"/>
  <c r="CY18" i="1" l="1"/>
  <c r="CT8" i="1"/>
  <c r="CJ15" i="1"/>
  <c r="CT14" i="1"/>
  <c r="W7" i="1"/>
  <c r="BU15" i="1"/>
  <c r="CY15" i="1"/>
  <c r="CO18" i="1"/>
  <c r="HO10" i="1"/>
  <c r="GP10" i="1"/>
  <c r="HE10" i="1"/>
  <c r="GZ10" i="1"/>
  <c r="GA10" i="1"/>
  <c r="GU10" i="1"/>
  <c r="GF10" i="1"/>
  <c r="FL10" i="1"/>
  <c r="FG10" i="1"/>
  <c r="FB10" i="1"/>
  <c r="HJ10" i="1"/>
  <c r="GK10" i="1"/>
  <c r="FQ10" i="1"/>
  <c r="HJ9" i="1"/>
  <c r="GK9" i="1"/>
  <c r="FQ9" i="1"/>
  <c r="FL9" i="1"/>
  <c r="HE9" i="1"/>
  <c r="GF9" i="1"/>
  <c r="GZ9" i="1"/>
  <c r="GA9" i="1"/>
  <c r="FG9" i="1"/>
  <c r="GU9" i="1"/>
  <c r="FB9" i="1"/>
  <c r="HO9" i="1"/>
  <c r="GP9" i="1"/>
  <c r="BU8" i="1"/>
  <c r="BZ18" i="1"/>
  <c r="HE8" i="1"/>
  <c r="GF8" i="1"/>
  <c r="FG8" i="1"/>
  <c r="FL8" i="1"/>
  <c r="GZ8" i="1"/>
  <c r="GA8" i="1"/>
  <c r="GU8" i="1"/>
  <c r="FB8" i="1"/>
  <c r="HO8" i="1"/>
  <c r="GP8" i="1"/>
  <c r="HJ8" i="1"/>
  <c r="GK8" i="1"/>
  <c r="FQ8" i="1"/>
  <c r="CO8" i="1"/>
  <c r="GZ7" i="1"/>
  <c r="GA7" i="1"/>
  <c r="FG7" i="1"/>
  <c r="HO7" i="1"/>
  <c r="GP7" i="1"/>
  <c r="GK7" i="1"/>
  <c r="GU7" i="1"/>
  <c r="FB7" i="1"/>
  <c r="HJ7" i="1"/>
  <c r="FQ7" i="1"/>
  <c r="FL7" i="1"/>
  <c r="GF7" i="1"/>
  <c r="HE7" i="1"/>
  <c r="GA17" i="1"/>
  <c r="HO17" i="1"/>
  <c r="FQ17" i="1"/>
  <c r="GZ17" i="1"/>
  <c r="FG17" i="1"/>
  <c r="GP17" i="1"/>
  <c r="HJ17" i="1"/>
  <c r="GK17" i="1"/>
  <c r="HE17" i="1"/>
  <c r="GF17" i="1"/>
  <c r="FL17" i="1"/>
  <c r="GU17" i="1"/>
  <c r="FB17" i="1"/>
  <c r="CO10" i="1"/>
  <c r="CT18" i="1"/>
  <c r="GP16" i="1"/>
  <c r="HE16" i="1"/>
  <c r="GF16" i="1"/>
  <c r="FL16" i="1"/>
  <c r="GZ16" i="1"/>
  <c r="GA16" i="1"/>
  <c r="FG16" i="1"/>
  <c r="GU16" i="1"/>
  <c r="HJ16" i="1"/>
  <c r="GK16" i="1"/>
  <c r="FQ16" i="1"/>
  <c r="FB16" i="1"/>
  <c r="HO16" i="1"/>
  <c r="CO15" i="1"/>
  <c r="HJ15" i="1"/>
  <c r="GK15" i="1"/>
  <c r="FQ15" i="1"/>
  <c r="FL15" i="1"/>
  <c r="HE15" i="1"/>
  <c r="GF15" i="1"/>
  <c r="GZ15" i="1"/>
  <c r="GA15" i="1"/>
  <c r="FG15" i="1"/>
  <c r="GU15" i="1"/>
  <c r="FB15" i="1"/>
  <c r="HO15" i="1"/>
  <c r="GP15" i="1"/>
  <c r="CY7" i="1"/>
  <c r="HE14" i="1"/>
  <c r="GF14" i="1"/>
  <c r="GU14" i="1"/>
  <c r="FL14" i="1"/>
  <c r="FB14" i="1"/>
  <c r="GZ14" i="1"/>
  <c r="GA14" i="1"/>
  <c r="FG14" i="1"/>
  <c r="HO14" i="1"/>
  <c r="GP14" i="1"/>
  <c r="GK14" i="1"/>
  <c r="HJ14" i="1"/>
  <c r="FQ14" i="1"/>
  <c r="GZ13" i="1"/>
  <c r="GA13" i="1"/>
  <c r="FB13" i="1"/>
  <c r="FG13" i="1"/>
  <c r="GU13" i="1"/>
  <c r="HO13" i="1"/>
  <c r="GP13" i="1"/>
  <c r="HJ13" i="1"/>
  <c r="GK13" i="1"/>
  <c r="FQ13" i="1"/>
  <c r="FL13" i="1"/>
  <c r="GF13" i="1"/>
  <c r="HE13" i="1"/>
  <c r="CE8" i="1"/>
  <c r="CY8" i="1"/>
  <c r="CE10" i="1"/>
  <c r="GU12" i="1"/>
  <c r="FB12" i="1"/>
  <c r="GF12" i="1"/>
  <c r="HO12" i="1"/>
  <c r="GP12" i="1"/>
  <c r="HJ12" i="1"/>
  <c r="GK12" i="1"/>
  <c r="FQ12" i="1"/>
  <c r="HE12" i="1"/>
  <c r="FL12" i="1"/>
  <c r="FG12" i="1"/>
  <c r="GA12" i="1"/>
  <c r="GZ12" i="1"/>
  <c r="FB18" i="1"/>
  <c r="HE18" i="1"/>
  <c r="GZ18" i="1"/>
  <c r="GP18" i="1"/>
  <c r="HJ18" i="1"/>
  <c r="GF18" i="1"/>
  <c r="HO18" i="1"/>
  <c r="GK18" i="1"/>
  <c r="FQ18" i="1"/>
  <c r="FL18" i="1"/>
  <c r="FG18" i="1"/>
  <c r="GA18" i="1"/>
  <c r="GU18" i="1"/>
  <c r="GK11" i="1"/>
  <c r="FQ11" i="1"/>
  <c r="FG11" i="1"/>
  <c r="HJ11" i="1"/>
  <c r="GZ11" i="1"/>
  <c r="HO11" i="1"/>
  <c r="GP11" i="1"/>
  <c r="HE11" i="1"/>
  <c r="GF11" i="1"/>
  <c r="FL11" i="1"/>
  <c r="GA11" i="1"/>
  <c r="FB11" i="1"/>
  <c r="GU11" i="1"/>
  <c r="CJ8" i="1"/>
  <c r="CJ18" i="1"/>
  <c r="CY9" i="1"/>
  <c r="M17" i="1"/>
  <c r="ER17" i="1"/>
  <c r="DD17" i="1"/>
  <c r="DN17" i="1"/>
  <c r="EW17" i="1"/>
  <c r="DI17" i="1"/>
  <c r="EH17" i="1"/>
  <c r="DX17" i="1"/>
  <c r="DS17" i="1"/>
  <c r="EM17" i="1"/>
  <c r="EC17" i="1"/>
  <c r="CO17" i="1"/>
  <c r="BU17" i="1"/>
  <c r="CE17" i="1"/>
  <c r="CT17" i="1"/>
  <c r="CJ17" i="1"/>
  <c r="BZ17" i="1"/>
  <c r="M13" i="1"/>
  <c r="EH13" i="1"/>
  <c r="DX13" i="1"/>
  <c r="EC13" i="1"/>
  <c r="DS13" i="1"/>
  <c r="EW13" i="1"/>
  <c r="DI13" i="1"/>
  <c r="EM13" i="1"/>
  <c r="DD13" i="1"/>
  <c r="DN13" i="1"/>
  <c r="ER13" i="1"/>
  <c r="CY17" i="1"/>
  <c r="M12" i="1"/>
  <c r="DN12" i="1"/>
  <c r="DI12" i="1"/>
  <c r="EW12" i="1"/>
  <c r="EC12" i="1"/>
  <c r="DS12" i="1"/>
  <c r="EM12" i="1"/>
  <c r="EH12" i="1"/>
  <c r="DX12" i="1"/>
  <c r="ER12" i="1"/>
  <c r="DD12" i="1"/>
  <c r="BP11" i="1"/>
  <c r="ER11" i="1"/>
  <c r="DN11" i="1"/>
  <c r="EW11" i="1"/>
  <c r="DI11" i="1"/>
  <c r="DX11" i="1"/>
  <c r="DS11" i="1"/>
  <c r="EM11" i="1"/>
  <c r="EH11" i="1"/>
  <c r="DD11" i="1"/>
  <c r="EC11" i="1"/>
  <c r="AQ10" i="1"/>
  <c r="EM10" i="1"/>
  <c r="EW10" i="1"/>
  <c r="DI10" i="1"/>
  <c r="ER10" i="1"/>
  <c r="DD10" i="1"/>
  <c r="EH10" i="1"/>
  <c r="EC10" i="1"/>
  <c r="DX10" i="1"/>
  <c r="DS10" i="1"/>
  <c r="DN10" i="1"/>
  <c r="CY11" i="1"/>
  <c r="BA9" i="1"/>
  <c r="EH9" i="1"/>
  <c r="ER9" i="1"/>
  <c r="DD9" i="1"/>
  <c r="EM9" i="1"/>
  <c r="EC9" i="1"/>
  <c r="DX9" i="1"/>
  <c r="EW9" i="1"/>
  <c r="DS9" i="1"/>
  <c r="DN9" i="1"/>
  <c r="DI9" i="1"/>
  <c r="CJ9" i="1"/>
  <c r="BF8" i="1"/>
  <c r="EC8" i="1"/>
  <c r="EM8" i="1"/>
  <c r="EH8" i="1"/>
  <c r="DX8" i="1"/>
  <c r="EW8" i="1"/>
  <c r="ER8" i="1"/>
  <c r="DS8" i="1"/>
  <c r="DN8" i="1"/>
  <c r="DI8" i="1"/>
  <c r="DD8" i="1"/>
  <c r="BZ10" i="1"/>
  <c r="CT9" i="1"/>
  <c r="CY12" i="1"/>
  <c r="M7" i="1"/>
  <c r="CE7" i="1"/>
  <c r="EH7" i="1"/>
  <c r="DX7" i="1"/>
  <c r="EC7" i="1"/>
  <c r="DS7" i="1"/>
  <c r="ER7" i="1"/>
  <c r="DN7" i="1"/>
  <c r="DI7" i="1"/>
  <c r="DD7" i="1"/>
  <c r="EW7" i="1"/>
  <c r="EM7" i="1"/>
  <c r="BZ7" i="1"/>
  <c r="CJ10" i="1"/>
  <c r="M18" i="1"/>
  <c r="EC18" i="1"/>
  <c r="DS18" i="1"/>
  <c r="DN18" i="1"/>
  <c r="EW18" i="1"/>
  <c r="DI18" i="1"/>
  <c r="ER18" i="1"/>
  <c r="EM18" i="1"/>
  <c r="EH18" i="1"/>
  <c r="DX18" i="1"/>
  <c r="DD18" i="1"/>
  <c r="BZ11" i="1"/>
  <c r="CT10" i="1"/>
  <c r="EM16" i="1"/>
  <c r="EW16" i="1"/>
  <c r="DI16" i="1"/>
  <c r="ER16" i="1"/>
  <c r="DD16" i="1"/>
  <c r="DX16" i="1"/>
  <c r="DN16" i="1"/>
  <c r="EH16" i="1"/>
  <c r="EC16" i="1"/>
  <c r="DS16" i="1"/>
  <c r="DX15" i="1"/>
  <c r="EH15" i="1"/>
  <c r="ER15" i="1"/>
  <c r="DD15" i="1"/>
  <c r="EM15" i="1"/>
  <c r="EC15" i="1"/>
  <c r="DS15" i="1"/>
  <c r="EW15" i="1"/>
  <c r="DN15" i="1"/>
  <c r="DI15" i="1"/>
  <c r="EC14" i="1"/>
  <c r="EM14" i="1"/>
  <c r="EH14" i="1"/>
  <c r="DX14" i="1"/>
  <c r="DS14" i="1"/>
  <c r="EW14" i="1"/>
  <c r="DN14" i="1"/>
  <c r="ER14" i="1"/>
  <c r="DI14" i="1"/>
  <c r="DD14" i="1"/>
  <c r="BU18" i="1"/>
  <c r="CE9" i="1"/>
  <c r="CE18" i="1"/>
  <c r="CJ14" i="1"/>
  <c r="CO9" i="1"/>
  <c r="AM44" i="4"/>
  <c r="AM46" i="4" s="1"/>
  <c r="E24" i="10" s="1"/>
  <c r="M16" i="1"/>
  <c r="CO16" i="1"/>
  <c r="CE16" i="1"/>
  <c r="CT16" i="1"/>
  <c r="CJ16" i="1"/>
  <c r="CY16" i="1"/>
  <c r="M15" i="1"/>
  <c r="BZ15" i="1"/>
  <c r="CT15" i="1"/>
  <c r="BU16" i="1"/>
  <c r="M14" i="1"/>
  <c r="CY14" i="1"/>
  <c r="BZ14" i="1"/>
  <c r="CE14" i="1"/>
  <c r="CE15" i="1"/>
  <c r="CO14" i="1"/>
  <c r="BZ16" i="1"/>
  <c r="BZ13" i="1"/>
  <c r="CE11" i="1"/>
  <c r="CJ11" i="1"/>
  <c r="CO11" i="1"/>
  <c r="CY13" i="1"/>
  <c r="BZ8" i="1"/>
  <c r="CE12" i="1"/>
  <c r="CJ12" i="1"/>
  <c r="CO12" i="1"/>
  <c r="CT12" i="1"/>
  <c r="CY10" i="1"/>
  <c r="BZ9" i="1"/>
  <c r="CE13" i="1"/>
  <c r="CJ7" i="1"/>
  <c r="CJ13" i="1"/>
  <c r="CO7" i="1"/>
  <c r="CO13" i="1"/>
  <c r="CT7" i="1"/>
  <c r="CT13" i="1"/>
  <c r="BZ12" i="1"/>
  <c r="CT11" i="1"/>
  <c r="BU7" i="1"/>
  <c r="AG44" i="4"/>
  <c r="AG46" i="4" s="1"/>
  <c r="E22" i="10" s="1"/>
  <c r="AJ44" i="4"/>
  <c r="AJ46" i="4" s="1"/>
  <c r="E23" i="10" s="1"/>
  <c r="AD44" i="4"/>
  <c r="AD46" i="4" s="1"/>
  <c r="E20" i="10" s="1"/>
  <c r="AS44" i="4"/>
  <c r="AS46" i="4" s="1"/>
  <c r="E26" i="10" s="1"/>
  <c r="AP44" i="4"/>
  <c r="AP46" i="4" s="1"/>
  <c r="E25" i="10" s="1"/>
  <c r="AA44" i="4"/>
  <c r="AA46" i="4" s="1"/>
  <c r="E18" i="10" s="1"/>
  <c r="BU14" i="1"/>
  <c r="BU9" i="1"/>
  <c r="BK14" i="1"/>
  <c r="BU10" i="1"/>
  <c r="BU11" i="1"/>
  <c r="BU12" i="1"/>
  <c r="BP12" i="1"/>
  <c r="BU13" i="1"/>
  <c r="X44" i="4"/>
  <c r="X46" i="4" s="1"/>
  <c r="E17" i="10" s="1"/>
  <c r="U44" i="4"/>
  <c r="U46" i="4" s="1"/>
  <c r="E16" i="10" s="1"/>
  <c r="BK7" i="1"/>
  <c r="BK16" i="1"/>
  <c r="BK15" i="1"/>
  <c r="BP14" i="1"/>
  <c r="BK8" i="1"/>
  <c r="BP15" i="1"/>
  <c r="BP7" i="1"/>
  <c r="BP16" i="1"/>
  <c r="W17" i="1"/>
  <c r="BP8" i="1"/>
  <c r="BK13" i="1"/>
  <c r="BP13" i="1"/>
  <c r="BP10" i="1"/>
  <c r="BK11" i="1"/>
  <c r="BK12" i="1"/>
  <c r="BK18" i="1"/>
  <c r="BP18" i="1"/>
  <c r="BK9" i="1"/>
  <c r="BK10" i="1"/>
  <c r="BK17" i="1"/>
  <c r="BP17" i="1"/>
  <c r="BP9" i="1"/>
  <c r="AG14" i="1"/>
  <c r="AG12" i="1"/>
  <c r="AV8" i="1"/>
  <c r="BA8" i="1"/>
  <c r="AB7" i="1"/>
  <c r="AB17" i="1"/>
  <c r="AG17" i="1"/>
  <c r="W12" i="1"/>
  <c r="W9" i="1"/>
  <c r="AQ12" i="1"/>
  <c r="BA12" i="1"/>
  <c r="AG13" i="1"/>
  <c r="AV15" i="1"/>
  <c r="BF16" i="1"/>
  <c r="AV16" i="1"/>
  <c r="AL15" i="1"/>
  <c r="AB16" i="1"/>
  <c r="AL14" i="1"/>
  <c r="BA14" i="1"/>
  <c r="AB15" i="1"/>
  <c r="AL13" i="1"/>
  <c r="AQ14" i="1"/>
  <c r="AB14" i="1"/>
  <c r="AL12" i="1"/>
  <c r="BA15" i="1"/>
  <c r="BF12" i="1"/>
  <c r="AB13" i="1"/>
  <c r="AQ15" i="1"/>
  <c r="AV12" i="1"/>
  <c r="W16" i="1"/>
  <c r="AB12" i="1"/>
  <c r="BA16" i="1"/>
  <c r="W15" i="1"/>
  <c r="AQ9" i="1"/>
  <c r="AQ16" i="1"/>
  <c r="BF14" i="1"/>
  <c r="W14" i="1"/>
  <c r="AG16" i="1"/>
  <c r="AV14" i="1"/>
  <c r="W13" i="1"/>
  <c r="AG15" i="1"/>
  <c r="BF15" i="1"/>
  <c r="E19" i="4"/>
  <c r="R44" i="4"/>
  <c r="R46" i="4" s="1"/>
  <c r="E14" i="10" s="1"/>
  <c r="O44" i="4"/>
  <c r="O46" i="4" s="1"/>
  <c r="E13" i="10" s="1"/>
  <c r="L44" i="4"/>
  <c r="L46" i="4" s="1"/>
  <c r="E12" i="10" s="1"/>
  <c r="I44" i="4"/>
  <c r="I46" i="4" s="1"/>
  <c r="E11" i="10" s="1"/>
  <c r="F44" i="4"/>
  <c r="F46" i="4" s="1"/>
  <c r="E10" i="10" s="1"/>
  <c r="M11" i="1"/>
  <c r="W11" i="1"/>
  <c r="AB11" i="1"/>
  <c r="BF11" i="1"/>
  <c r="BA11" i="1"/>
  <c r="AV11" i="1"/>
  <c r="AG11" i="1"/>
  <c r="AQ11" i="1"/>
  <c r="AL11" i="1"/>
  <c r="M10" i="1"/>
  <c r="W10" i="1"/>
  <c r="AB10" i="1"/>
  <c r="AG10" i="1"/>
  <c r="BF10" i="1"/>
  <c r="BA10" i="1"/>
  <c r="AV10" i="1"/>
  <c r="AL10" i="1"/>
  <c r="M9" i="1"/>
  <c r="AB9" i="1"/>
  <c r="AG9" i="1"/>
  <c r="AL9" i="1"/>
  <c r="AV9" i="1"/>
  <c r="BF9" i="1"/>
  <c r="M8" i="1"/>
  <c r="AQ8" i="1"/>
  <c r="AQ17" i="1"/>
  <c r="AV17" i="1"/>
  <c r="BA17" i="1"/>
  <c r="BF17" i="1"/>
  <c r="AQ7" i="1"/>
  <c r="AL7" i="1"/>
  <c r="AQ18" i="1"/>
  <c r="AV18" i="1"/>
  <c r="BA18" i="1"/>
  <c r="BF18" i="1"/>
  <c r="AL17" i="1"/>
  <c r="AQ13" i="1"/>
  <c r="AG7" i="1"/>
  <c r="AL16" i="1"/>
  <c r="AV7" i="1"/>
  <c r="AV13" i="1"/>
  <c r="BA13" i="1"/>
  <c r="BF7" i="1"/>
  <c r="BF13" i="1"/>
  <c r="BA7" i="1"/>
  <c r="W8" i="1"/>
  <c r="AB8" i="1"/>
  <c r="AG8" i="1"/>
  <c r="AL8" i="1"/>
  <c r="W18" i="1"/>
  <c r="AB18" i="1"/>
  <c r="AG18" i="1"/>
  <c r="AL18" i="1"/>
  <c r="O32" i="3"/>
  <c r="O29" i="3"/>
  <c r="O28" i="3"/>
  <c r="O27" i="3"/>
  <c r="O26" i="3"/>
  <c r="O30" i="3"/>
  <c r="O36" i="3"/>
  <c r="O31" i="3"/>
  <c r="O37" i="3"/>
  <c r="O35" i="3"/>
  <c r="O34" i="3"/>
  <c r="O33" i="3"/>
  <c r="X60" i="3"/>
  <c r="X61" i="3"/>
  <c r="X59" i="3"/>
  <c r="X58" i="3"/>
  <c r="X57" i="3"/>
  <c r="X55" i="3"/>
  <c r="X56" i="3"/>
  <c r="X50" i="3"/>
  <c r="X51" i="3"/>
  <c r="X52" i="3"/>
  <c r="X53" i="3"/>
  <c r="X54" i="3"/>
  <c r="R18" i="1"/>
  <c r="R7" i="1"/>
  <c r="R17" i="1"/>
  <c r="R16" i="1"/>
  <c r="R15" i="1"/>
  <c r="R14" i="1"/>
  <c r="R13" i="1"/>
  <c r="R12" i="1"/>
  <c r="R11" i="1"/>
  <c r="R10" i="1"/>
  <c r="R9" i="1"/>
  <c r="R8" i="1"/>
  <c r="F12" i="3"/>
  <c r="G12" i="3" s="1"/>
  <c r="F11" i="3"/>
  <c r="G11" i="3" s="1"/>
  <c r="F10" i="3"/>
  <c r="G10" i="3" s="1"/>
  <c r="F9" i="3"/>
  <c r="G9" i="3" s="1"/>
  <c r="F8" i="3"/>
  <c r="G8" i="3" s="1"/>
  <c r="H20" i="1"/>
  <c r="F19" i="1"/>
  <c r="CJ19" i="1" l="1"/>
  <c r="CK19" i="1" s="1"/>
  <c r="FQ19" i="1"/>
  <c r="FR12" i="1"/>
  <c r="FU12" i="1" s="1"/>
  <c r="FR8" i="1"/>
  <c r="FU8" i="1" s="1"/>
  <c r="GU19" i="1"/>
  <c r="GV13" i="1" s="1"/>
  <c r="GY13" i="1" s="1"/>
  <c r="GK19" i="1"/>
  <c r="GL12" i="1" s="1"/>
  <c r="HO19" i="1"/>
  <c r="HP8" i="1" s="1"/>
  <c r="FG19" i="1"/>
  <c r="FH18" i="1" s="1"/>
  <c r="FK18" i="1" s="1"/>
  <c r="HE19" i="1"/>
  <c r="HF7" i="1" s="1"/>
  <c r="GF19" i="1"/>
  <c r="GG16" i="1" s="1"/>
  <c r="GJ16" i="1" s="1"/>
  <c r="GA19" i="1"/>
  <c r="GB9" i="1" s="1"/>
  <c r="GE9" i="1" s="1"/>
  <c r="HJ19" i="1"/>
  <c r="HK17" i="1" s="1"/>
  <c r="FB19" i="1"/>
  <c r="FC16" i="1" s="1"/>
  <c r="FF16" i="1" s="1"/>
  <c r="GP19" i="1"/>
  <c r="GQ12" i="1" s="1"/>
  <c r="GT12" i="1" s="1"/>
  <c r="FL19" i="1"/>
  <c r="FM9" i="1" s="1"/>
  <c r="FP9" i="1" s="1"/>
  <c r="GZ19" i="1"/>
  <c r="HA14" i="1" s="1"/>
  <c r="HD14" i="1" s="1"/>
  <c r="DN19" i="1"/>
  <c r="DO12" i="1" s="1"/>
  <c r="DR12" i="1" s="1"/>
  <c r="ER19" i="1"/>
  <c r="ES17" i="1" s="1"/>
  <c r="DS19" i="1"/>
  <c r="DT11" i="1" s="1"/>
  <c r="DX19" i="1"/>
  <c r="DY18" i="1" s="1"/>
  <c r="EB18" i="1" s="1"/>
  <c r="EH19" i="1"/>
  <c r="EM19" i="1"/>
  <c r="EN8" i="1" s="1"/>
  <c r="EQ8" i="1" s="1"/>
  <c r="EW19" i="1"/>
  <c r="EX8" i="1" s="1"/>
  <c r="FA8" i="1" s="1"/>
  <c r="DD19" i="1"/>
  <c r="DE12" i="1" s="1"/>
  <c r="DH12" i="1" s="1"/>
  <c r="DI19" i="1"/>
  <c r="DJ8" i="1" s="1"/>
  <c r="DM8" i="1" s="1"/>
  <c r="EC19" i="1"/>
  <c r="CK15" i="1"/>
  <c r="CN15" i="1" s="1"/>
  <c r="CK17" i="1"/>
  <c r="CN17" i="1" s="1"/>
  <c r="BZ19" i="1"/>
  <c r="CA14" i="1" s="1"/>
  <c r="CD14" i="1" s="1"/>
  <c r="CT19" i="1"/>
  <c r="CU10" i="1" s="1"/>
  <c r="CK9" i="1"/>
  <c r="CN9" i="1" s="1"/>
  <c r="CK16" i="1"/>
  <c r="CN16" i="1" s="1"/>
  <c r="CK13" i="1"/>
  <c r="CN13" i="1" s="1"/>
  <c r="CE19" i="1"/>
  <c r="CF15" i="1" s="1"/>
  <c r="CI15" i="1" s="1"/>
  <c r="BU19" i="1"/>
  <c r="BV15" i="1" s="1"/>
  <c r="BY15" i="1" s="1"/>
  <c r="CY19" i="1"/>
  <c r="CZ7" i="1" s="1"/>
  <c r="CO19" i="1"/>
  <c r="CP7" i="1" s="1"/>
  <c r="CS7" i="1" s="1"/>
  <c r="CK14" i="1"/>
  <c r="CN14" i="1" s="1"/>
  <c r="CK18" i="1"/>
  <c r="CN18" i="1" s="1"/>
  <c r="CK10" i="1"/>
  <c r="CN10" i="1" s="1"/>
  <c r="BP19" i="1"/>
  <c r="BQ11" i="1" s="1"/>
  <c r="BT11" i="1" s="1"/>
  <c r="BK19" i="1"/>
  <c r="BL16" i="1" s="1"/>
  <c r="BO16" i="1" s="1"/>
  <c r="BL10" i="1"/>
  <c r="BO10" i="1" s="1"/>
  <c r="BL7" i="1"/>
  <c r="AV19" i="1"/>
  <c r="AW8" i="1" s="1"/>
  <c r="AZ8" i="1" s="1"/>
  <c r="M19" i="1"/>
  <c r="N7" i="1" s="1"/>
  <c r="Q7" i="1" s="1"/>
  <c r="AG19" i="1"/>
  <c r="AH17" i="1" s="1"/>
  <c r="AK17" i="1" s="1"/>
  <c r="AB19" i="1"/>
  <c r="AC15" i="1" s="1"/>
  <c r="AF15" i="1" s="1"/>
  <c r="AL19" i="1"/>
  <c r="AQ19" i="1"/>
  <c r="AR17" i="1" s="1"/>
  <c r="AU17" i="1" s="1"/>
  <c r="BA19" i="1"/>
  <c r="BB13" i="1" s="1"/>
  <c r="BE13" i="1" s="1"/>
  <c r="BF19" i="1"/>
  <c r="W19" i="1"/>
  <c r="R19" i="1"/>
  <c r="S19" i="1" s="1"/>
  <c r="G11" i="1"/>
  <c r="K11" i="1" s="1"/>
  <c r="G12" i="1"/>
  <c r="K12" i="1" s="1"/>
  <c r="G13" i="1"/>
  <c r="K13" i="1" s="1"/>
  <c r="G14" i="1"/>
  <c r="K14" i="1" s="1"/>
  <c r="G15" i="1"/>
  <c r="K15" i="1" s="1"/>
  <c r="G16" i="1"/>
  <c r="K16" i="1" s="1"/>
  <c r="G17" i="1"/>
  <c r="K17" i="1" s="1"/>
  <c r="G18" i="1"/>
  <c r="K18" i="1" s="1"/>
  <c r="G19" i="1"/>
  <c r="G8" i="1"/>
  <c r="K8" i="1" s="1"/>
  <c r="G7" i="1"/>
  <c r="K7" i="1" s="1"/>
  <c r="G9" i="1"/>
  <c r="K9" i="1" s="1"/>
  <c r="G10" i="1"/>
  <c r="K10" i="1" s="1"/>
  <c r="FR13" i="1" l="1"/>
  <c r="FU13" i="1" s="1"/>
  <c r="FW9" i="1"/>
  <c r="FW12" i="1"/>
  <c r="FW15" i="1"/>
  <c r="FW18" i="1"/>
  <c r="FW10" i="1"/>
  <c r="FZ10" i="1" s="1"/>
  <c r="FW7" i="1"/>
  <c r="FW16" i="1"/>
  <c r="FZ16" i="1" s="1"/>
  <c r="FW13" i="1"/>
  <c r="FZ13" i="1" s="1"/>
  <c r="FW11" i="1"/>
  <c r="FZ11" i="1" s="1"/>
  <c r="FW8" i="1"/>
  <c r="FZ8" i="1" s="1"/>
  <c r="FW17" i="1"/>
  <c r="FZ17" i="1" s="1"/>
  <c r="FW14" i="1"/>
  <c r="FR15" i="1"/>
  <c r="FU15" i="1" s="1"/>
  <c r="CF7" i="1"/>
  <c r="DY8" i="1"/>
  <c r="EB8" i="1" s="1"/>
  <c r="DJ9" i="1"/>
  <c r="DM9" i="1" s="1"/>
  <c r="DT7" i="1"/>
  <c r="DT18" i="1"/>
  <c r="DT8" i="1"/>
  <c r="FR16" i="1"/>
  <c r="FU16" i="1" s="1"/>
  <c r="HF18" i="1"/>
  <c r="HI18" i="1" s="1"/>
  <c r="GG18" i="1"/>
  <c r="GJ18" i="1" s="1"/>
  <c r="GG7" i="1"/>
  <c r="GJ7" i="1" s="1"/>
  <c r="HA13" i="1"/>
  <c r="HD13" i="1" s="1"/>
  <c r="GQ17" i="1"/>
  <c r="GT17" i="1" s="1"/>
  <c r="GL11" i="1"/>
  <c r="FR10" i="1"/>
  <c r="FU10" i="1" s="1"/>
  <c r="HK12" i="1"/>
  <c r="HA9" i="1"/>
  <c r="HD9" i="1" s="1"/>
  <c r="GQ18" i="1"/>
  <c r="GT18" i="1" s="1"/>
  <c r="GG10" i="1"/>
  <c r="GJ10" i="1" s="1"/>
  <c r="GB11" i="1"/>
  <c r="GE11" i="1" s="1"/>
  <c r="CF18" i="1"/>
  <c r="CI18" i="1" s="1"/>
  <c r="BV11" i="1"/>
  <c r="BY11" i="1" s="1"/>
  <c r="DJ17" i="1"/>
  <c r="DM17" i="1" s="1"/>
  <c r="DJ11" i="1"/>
  <c r="DM11" i="1" s="1"/>
  <c r="BV8" i="1"/>
  <c r="BY8" i="1" s="1"/>
  <c r="CF12" i="1"/>
  <c r="CI12" i="1" s="1"/>
  <c r="HP16" i="1"/>
  <c r="HK11" i="1"/>
  <c r="HK7" i="1"/>
  <c r="GL17" i="1"/>
  <c r="CF14" i="1"/>
  <c r="CI14" i="1" s="1"/>
  <c r="FR7" i="1"/>
  <c r="FU7" i="1" s="1"/>
  <c r="FR9" i="1"/>
  <c r="FU9" i="1" s="1"/>
  <c r="CK12" i="1"/>
  <c r="CN12" i="1" s="1"/>
  <c r="CK11" i="1"/>
  <c r="CN11" i="1" s="1"/>
  <c r="FC7" i="1"/>
  <c r="FF7" i="1" s="1"/>
  <c r="GL14" i="1"/>
  <c r="HK14" i="1"/>
  <c r="FR18" i="1"/>
  <c r="FU18" i="1" s="1"/>
  <c r="BV13" i="1"/>
  <c r="BY13" i="1" s="1"/>
  <c r="GQ11" i="1"/>
  <c r="GT11" i="1" s="1"/>
  <c r="BV18" i="1"/>
  <c r="BY18" i="1" s="1"/>
  <c r="GL16" i="1"/>
  <c r="GL13" i="1"/>
  <c r="BV17" i="1"/>
  <c r="BY17" i="1" s="1"/>
  <c r="CK8" i="1"/>
  <c r="CN8" i="1" s="1"/>
  <c r="CK7" i="1"/>
  <c r="CN7" i="1" s="1"/>
  <c r="CN19" i="1" s="1"/>
  <c r="CN21" i="1" s="1"/>
  <c r="D24" i="10" s="1"/>
  <c r="CF9" i="1"/>
  <c r="CI9" i="1" s="1"/>
  <c r="FR11" i="1"/>
  <c r="FU11" i="1" s="1"/>
  <c r="BV12" i="1"/>
  <c r="BY12" i="1" s="1"/>
  <c r="DJ16" i="1"/>
  <c r="DM16" i="1" s="1"/>
  <c r="CF13" i="1"/>
  <c r="CI13" i="1" s="1"/>
  <c r="DJ15" i="1"/>
  <c r="DM15" i="1" s="1"/>
  <c r="BV16" i="1"/>
  <c r="BY16" i="1" s="1"/>
  <c r="DE9" i="1"/>
  <c r="DH9" i="1" s="1"/>
  <c r="DT10" i="1"/>
  <c r="FR14" i="1"/>
  <c r="FU14" i="1" s="1"/>
  <c r="HF11" i="1"/>
  <c r="HI11" i="1" s="1"/>
  <c r="FR17" i="1"/>
  <c r="FU17" i="1" s="1"/>
  <c r="GB7" i="1"/>
  <c r="GB18" i="1"/>
  <c r="GE18" i="1" s="1"/>
  <c r="GB10" i="1"/>
  <c r="GE10" i="1" s="1"/>
  <c r="FM7" i="1"/>
  <c r="FM11" i="1"/>
  <c r="FP11" i="1" s="1"/>
  <c r="FM13" i="1"/>
  <c r="FP13" i="1" s="1"/>
  <c r="FM17" i="1"/>
  <c r="FP17" i="1" s="1"/>
  <c r="FM18" i="1"/>
  <c r="FP18" i="1" s="1"/>
  <c r="FM12" i="1"/>
  <c r="FP12" i="1" s="1"/>
  <c r="FM14" i="1"/>
  <c r="FP14" i="1" s="1"/>
  <c r="FM15" i="1"/>
  <c r="FP15" i="1" s="1"/>
  <c r="HF16" i="1"/>
  <c r="HI16" i="1" s="1"/>
  <c r="HF13" i="1"/>
  <c r="HI13" i="1" s="1"/>
  <c r="GQ8" i="1"/>
  <c r="GT8" i="1" s="1"/>
  <c r="GQ13" i="1"/>
  <c r="GT13" i="1" s="1"/>
  <c r="GQ14" i="1"/>
  <c r="GT14" i="1" s="1"/>
  <c r="GQ15" i="1"/>
  <c r="GT15" i="1" s="1"/>
  <c r="GQ7" i="1"/>
  <c r="GQ9" i="1"/>
  <c r="GT9" i="1" s="1"/>
  <c r="GQ10" i="1"/>
  <c r="GT10" i="1" s="1"/>
  <c r="HF14" i="1"/>
  <c r="HI14" i="1" s="1"/>
  <c r="GG14" i="1"/>
  <c r="GJ14" i="1" s="1"/>
  <c r="HF10" i="1"/>
  <c r="HI10" i="1" s="1"/>
  <c r="GG12" i="1"/>
  <c r="GJ12" i="1" s="1"/>
  <c r="FM8" i="1"/>
  <c r="FP8" i="1" s="1"/>
  <c r="GB14" i="1"/>
  <c r="GE14" i="1" s="1"/>
  <c r="GB8" i="1"/>
  <c r="GE8" i="1" s="1"/>
  <c r="FZ9" i="1"/>
  <c r="FZ12" i="1"/>
  <c r="FZ14" i="1"/>
  <c r="FZ18" i="1"/>
  <c r="DE10" i="1"/>
  <c r="DH10" i="1" s="1"/>
  <c r="FC17" i="1"/>
  <c r="FF17" i="1" s="1"/>
  <c r="FC18" i="1"/>
  <c r="FF18" i="1" s="1"/>
  <c r="FC9" i="1"/>
  <c r="FF9" i="1" s="1"/>
  <c r="FC12" i="1"/>
  <c r="FF12" i="1" s="1"/>
  <c r="FC8" i="1"/>
  <c r="FF8" i="1" s="1"/>
  <c r="FC10" i="1"/>
  <c r="FF10" i="1" s="1"/>
  <c r="HP7" i="1"/>
  <c r="HP17" i="1"/>
  <c r="HP18" i="1"/>
  <c r="HP9" i="1"/>
  <c r="HP10" i="1"/>
  <c r="HP11" i="1"/>
  <c r="HP13" i="1"/>
  <c r="HP14" i="1"/>
  <c r="HP15" i="1"/>
  <c r="FC15" i="1"/>
  <c r="FF15" i="1" s="1"/>
  <c r="FH8" i="1"/>
  <c r="FK8" i="1" s="1"/>
  <c r="BL9" i="1"/>
  <c r="BO9" i="1" s="1"/>
  <c r="CF16" i="1"/>
  <c r="CI16" i="1" s="1"/>
  <c r="CF17" i="1"/>
  <c r="CI17" i="1" s="1"/>
  <c r="HF9" i="1"/>
  <c r="HI9" i="1" s="1"/>
  <c r="HK13" i="1"/>
  <c r="HK8" i="1"/>
  <c r="HK15" i="1"/>
  <c r="HK9" i="1"/>
  <c r="HK10" i="1"/>
  <c r="HK16" i="1"/>
  <c r="HK18" i="1"/>
  <c r="GG11" i="1"/>
  <c r="GJ11" i="1" s="1"/>
  <c r="GB12" i="1"/>
  <c r="GE12" i="1" s="1"/>
  <c r="FC11" i="1"/>
  <c r="FF11" i="1" s="1"/>
  <c r="FZ15" i="1"/>
  <c r="FH7" i="1"/>
  <c r="FH15" i="1"/>
  <c r="FK15" i="1" s="1"/>
  <c r="FH17" i="1"/>
  <c r="FK17" i="1" s="1"/>
  <c r="FH12" i="1"/>
  <c r="FK12" i="1" s="1"/>
  <c r="FH16" i="1"/>
  <c r="FK16" i="1" s="1"/>
  <c r="GB17" i="1"/>
  <c r="GE17" i="1" s="1"/>
  <c r="GB15" i="1"/>
  <c r="GE15" i="1" s="1"/>
  <c r="FH9" i="1"/>
  <c r="FK9" i="1" s="1"/>
  <c r="HA8" i="1"/>
  <c r="HD8" i="1" s="1"/>
  <c r="HA12" i="1"/>
  <c r="HD12" i="1" s="1"/>
  <c r="HA15" i="1"/>
  <c r="HD15" i="1" s="1"/>
  <c r="HA17" i="1"/>
  <c r="HD17" i="1" s="1"/>
  <c r="HA10" i="1"/>
  <c r="HD10" i="1" s="1"/>
  <c r="HA7" i="1"/>
  <c r="HA16" i="1"/>
  <c r="HD16" i="1" s="1"/>
  <c r="HA18" i="1"/>
  <c r="HD18" i="1" s="1"/>
  <c r="GG13" i="1"/>
  <c r="GJ13" i="1" s="1"/>
  <c r="GB13" i="1"/>
  <c r="GE13" i="1" s="1"/>
  <c r="FM10" i="1"/>
  <c r="FP10" i="1" s="1"/>
  <c r="BL13" i="1"/>
  <c r="BO13" i="1" s="1"/>
  <c r="HI7" i="1"/>
  <c r="GG15" i="1"/>
  <c r="GJ15" i="1" s="1"/>
  <c r="HP12" i="1"/>
  <c r="FH11" i="1"/>
  <c r="FK11" i="1" s="1"/>
  <c r="HA11" i="1"/>
  <c r="HD11" i="1" s="1"/>
  <c r="GQ16" i="1"/>
  <c r="GT16" i="1" s="1"/>
  <c r="FM16" i="1"/>
  <c r="FP16" i="1" s="1"/>
  <c r="GV12" i="1"/>
  <c r="GY12" i="1" s="1"/>
  <c r="GV14" i="1"/>
  <c r="GY14" i="1" s="1"/>
  <c r="GV16" i="1"/>
  <c r="GY16" i="1" s="1"/>
  <c r="GV17" i="1"/>
  <c r="GY17" i="1" s="1"/>
  <c r="GV8" i="1"/>
  <c r="GY8" i="1" s="1"/>
  <c r="GV9" i="1"/>
  <c r="GY9" i="1" s="1"/>
  <c r="GV7" i="1"/>
  <c r="FH13" i="1"/>
  <c r="FK13" i="1" s="1"/>
  <c r="GV11" i="1"/>
  <c r="GY11" i="1" s="1"/>
  <c r="GV15" i="1"/>
  <c r="GY15" i="1" s="1"/>
  <c r="GG9" i="1"/>
  <c r="GJ9" i="1" s="1"/>
  <c r="FC13" i="1"/>
  <c r="FF13" i="1" s="1"/>
  <c r="GG17" i="1"/>
  <c r="GJ17" i="1" s="1"/>
  <c r="HF17" i="1"/>
  <c r="HI17" i="1" s="1"/>
  <c r="GB16" i="1"/>
  <c r="GE16" i="1" s="1"/>
  <c r="HF15" i="1"/>
  <c r="HI15" i="1" s="1"/>
  <c r="GV18" i="1"/>
  <c r="GY18" i="1" s="1"/>
  <c r="GG8" i="1"/>
  <c r="GJ8" i="1" s="1"/>
  <c r="BV14" i="1"/>
  <c r="BY14" i="1" s="1"/>
  <c r="BL14" i="1"/>
  <c r="BO14" i="1" s="1"/>
  <c r="ES10" i="1"/>
  <c r="HF12" i="1"/>
  <c r="HI12" i="1" s="1"/>
  <c r="HF8" i="1"/>
  <c r="HI8" i="1" s="1"/>
  <c r="GL8" i="1"/>
  <c r="GL9" i="1"/>
  <c r="GL10" i="1"/>
  <c r="GL18" i="1"/>
  <c r="GL7" i="1"/>
  <c r="GL15" i="1"/>
  <c r="FH10" i="1"/>
  <c r="FK10" i="1" s="1"/>
  <c r="GV10" i="1"/>
  <c r="GY10" i="1" s="1"/>
  <c r="FC14" i="1"/>
  <c r="FF14" i="1" s="1"/>
  <c r="FH14" i="1"/>
  <c r="FK14" i="1" s="1"/>
  <c r="EX9" i="1"/>
  <c r="FA9" i="1" s="1"/>
  <c r="EX18" i="1"/>
  <c r="FA18" i="1" s="1"/>
  <c r="ES16" i="1"/>
  <c r="EN15" i="1"/>
  <c r="EQ15" i="1" s="1"/>
  <c r="EX7" i="1"/>
  <c r="FA7" i="1" s="1"/>
  <c r="EX17" i="1"/>
  <c r="FA17" i="1" s="1"/>
  <c r="EN10" i="1"/>
  <c r="EQ10" i="1" s="1"/>
  <c r="EN18" i="1"/>
  <c r="EQ18" i="1" s="1"/>
  <c r="ED9" i="1"/>
  <c r="EG9" i="1" s="1"/>
  <c r="ED12" i="1"/>
  <c r="EG12" i="1" s="1"/>
  <c r="ED15" i="1"/>
  <c r="EG15" i="1" s="1"/>
  <c r="ED17" i="1"/>
  <c r="EG17" i="1" s="1"/>
  <c r="ED13" i="1"/>
  <c r="EG13" i="1" s="1"/>
  <c r="ED14" i="1"/>
  <c r="EG14" i="1" s="1"/>
  <c r="ED18" i="1"/>
  <c r="EG18" i="1" s="1"/>
  <c r="ED7" i="1"/>
  <c r="ED11" i="1"/>
  <c r="EG11" i="1" s="1"/>
  <c r="EI11" i="1"/>
  <c r="EL11" i="1" s="1"/>
  <c r="EI9" i="1"/>
  <c r="EL9" i="1" s="1"/>
  <c r="EI13" i="1"/>
  <c r="EL13" i="1" s="1"/>
  <c r="EI10" i="1"/>
  <c r="EL10" i="1" s="1"/>
  <c r="EI17" i="1"/>
  <c r="EL17" i="1" s="1"/>
  <c r="EI12" i="1"/>
  <c r="EL12" i="1" s="1"/>
  <c r="EI15" i="1"/>
  <c r="EL15" i="1" s="1"/>
  <c r="EI14" i="1"/>
  <c r="EL14" i="1" s="1"/>
  <c r="EI7" i="1"/>
  <c r="ED8" i="1"/>
  <c r="EG8" i="1" s="1"/>
  <c r="CU7" i="1"/>
  <c r="EN12" i="1"/>
  <c r="EQ12" i="1" s="1"/>
  <c r="EN11" i="1"/>
  <c r="EQ11" i="1" s="1"/>
  <c r="EN13" i="1"/>
  <c r="EQ13" i="1" s="1"/>
  <c r="EN17" i="1"/>
  <c r="EQ17" i="1" s="1"/>
  <c r="EN16" i="1"/>
  <c r="EQ16" i="1" s="1"/>
  <c r="EN14" i="1"/>
  <c r="EQ14" i="1" s="1"/>
  <c r="DY10" i="1"/>
  <c r="EB10" i="1" s="1"/>
  <c r="DY12" i="1"/>
  <c r="EB12" i="1" s="1"/>
  <c r="DY11" i="1"/>
  <c r="EB11" i="1" s="1"/>
  <c r="DY14" i="1"/>
  <c r="EB14" i="1" s="1"/>
  <c r="DY13" i="1"/>
  <c r="EB13" i="1" s="1"/>
  <c r="DY17" i="1"/>
  <c r="EB17" i="1" s="1"/>
  <c r="DY16" i="1"/>
  <c r="EB16" i="1" s="1"/>
  <c r="DT9" i="1"/>
  <c r="EN7" i="1"/>
  <c r="DY7" i="1"/>
  <c r="EB7" i="1" s="1"/>
  <c r="ES9" i="1"/>
  <c r="ES14" i="1"/>
  <c r="ES12" i="1"/>
  <c r="ES11" i="1"/>
  <c r="ES13" i="1"/>
  <c r="ES15" i="1"/>
  <c r="ED10" i="1"/>
  <c r="EG10" i="1" s="1"/>
  <c r="DE11" i="1"/>
  <c r="DH11" i="1" s="1"/>
  <c r="DE16" i="1"/>
  <c r="DH16" i="1" s="1"/>
  <c r="DE17" i="1"/>
  <c r="DH17" i="1" s="1"/>
  <c r="DE13" i="1"/>
  <c r="DH13" i="1" s="1"/>
  <c r="DE14" i="1"/>
  <c r="DH14" i="1" s="1"/>
  <c r="DE15" i="1"/>
  <c r="DH15" i="1" s="1"/>
  <c r="DE8" i="1"/>
  <c r="DH8" i="1" s="1"/>
  <c r="EI18" i="1"/>
  <c r="EL18" i="1" s="1"/>
  <c r="EI8" i="1"/>
  <c r="EL8" i="1" s="1"/>
  <c r="ES7" i="1"/>
  <c r="DY9" i="1"/>
  <c r="EB9" i="1" s="1"/>
  <c r="DE7" i="1"/>
  <c r="EI16" i="1"/>
  <c r="EL16" i="1" s="1"/>
  <c r="DY15" i="1"/>
  <c r="EB15" i="1" s="1"/>
  <c r="ES8" i="1"/>
  <c r="ES18" i="1"/>
  <c r="DE18" i="1"/>
  <c r="DH18" i="1" s="1"/>
  <c r="DO15" i="1"/>
  <c r="DR15" i="1" s="1"/>
  <c r="DO16" i="1"/>
  <c r="DR16" i="1" s="1"/>
  <c r="DO10" i="1"/>
  <c r="DR10" i="1" s="1"/>
  <c r="DO17" i="1"/>
  <c r="DR17" i="1" s="1"/>
  <c r="DO13" i="1"/>
  <c r="DR13" i="1" s="1"/>
  <c r="DO7" i="1"/>
  <c r="DO9" i="1"/>
  <c r="DR9" i="1" s="1"/>
  <c r="DO8" i="1"/>
  <c r="DR8" i="1" s="1"/>
  <c r="DO14" i="1"/>
  <c r="DR14" i="1" s="1"/>
  <c r="DO18" i="1"/>
  <c r="DR18" i="1" s="1"/>
  <c r="DO11" i="1"/>
  <c r="DR11" i="1" s="1"/>
  <c r="CU8" i="1"/>
  <c r="CU14" i="1"/>
  <c r="CU18" i="1"/>
  <c r="CU17" i="1"/>
  <c r="CU13" i="1"/>
  <c r="CU16" i="1"/>
  <c r="CU15" i="1"/>
  <c r="CU12" i="1"/>
  <c r="CU11" i="1"/>
  <c r="CU9" i="1"/>
  <c r="ED16" i="1"/>
  <c r="EG16" i="1" s="1"/>
  <c r="CA13" i="1"/>
  <c r="CD13" i="1" s="1"/>
  <c r="CA9" i="1"/>
  <c r="CD9" i="1" s="1"/>
  <c r="EX11" i="1"/>
  <c r="FA11" i="1" s="1"/>
  <c r="EX13" i="1"/>
  <c r="FA13" i="1" s="1"/>
  <c r="EX12" i="1"/>
  <c r="FA12" i="1" s="1"/>
  <c r="EX10" i="1"/>
  <c r="FA10" i="1" s="1"/>
  <c r="EX14" i="1"/>
  <c r="FA14" i="1" s="1"/>
  <c r="EX16" i="1"/>
  <c r="FA16" i="1" s="1"/>
  <c r="EX15" i="1"/>
  <c r="FA15" i="1" s="1"/>
  <c r="EN9" i="1"/>
  <c r="EQ9" i="1" s="1"/>
  <c r="DT13" i="1"/>
  <c r="DT12" i="1"/>
  <c r="DT14" i="1"/>
  <c r="DT17" i="1"/>
  <c r="DT15" i="1"/>
  <c r="DT16" i="1"/>
  <c r="DC7" i="1"/>
  <c r="DJ7" i="1"/>
  <c r="DJ14" i="1"/>
  <c r="DM14" i="1" s="1"/>
  <c r="DJ13" i="1"/>
  <c r="DM13" i="1" s="1"/>
  <c r="DJ18" i="1"/>
  <c r="DM18" i="1" s="1"/>
  <c r="BV7" i="1"/>
  <c r="BY7" i="1" s="1"/>
  <c r="CF19" i="1"/>
  <c r="CF10" i="1"/>
  <c r="CI10" i="1" s="1"/>
  <c r="CF8" i="1"/>
  <c r="CI8" i="1" s="1"/>
  <c r="DJ12" i="1"/>
  <c r="DM12" i="1" s="1"/>
  <c r="DJ10" i="1"/>
  <c r="DM10" i="1" s="1"/>
  <c r="BV9" i="1"/>
  <c r="BY9" i="1" s="1"/>
  <c r="CF11" i="1"/>
  <c r="CI11" i="1" s="1"/>
  <c r="CZ16" i="1"/>
  <c r="DC16" i="1" s="1"/>
  <c r="CZ10" i="1"/>
  <c r="DC10" i="1" s="1"/>
  <c r="CZ14" i="1"/>
  <c r="DC14" i="1" s="1"/>
  <c r="CA8" i="1"/>
  <c r="CD8" i="1" s="1"/>
  <c r="CP19" i="1"/>
  <c r="CP15" i="1"/>
  <c r="CS15" i="1" s="1"/>
  <c r="CP17" i="1"/>
  <c r="CS17" i="1" s="1"/>
  <c r="CP18" i="1"/>
  <c r="CS18" i="1" s="1"/>
  <c r="CP10" i="1"/>
  <c r="CS10" i="1" s="1"/>
  <c r="CP8" i="1"/>
  <c r="CS8" i="1" s="1"/>
  <c r="CP9" i="1"/>
  <c r="CS9" i="1" s="1"/>
  <c r="CA16" i="1"/>
  <c r="CD16" i="1" s="1"/>
  <c r="BQ7" i="1"/>
  <c r="BT7" i="1" s="1"/>
  <c r="BV10" i="1"/>
  <c r="BY10" i="1" s="1"/>
  <c r="BQ16" i="1"/>
  <c r="BT16" i="1" s="1"/>
  <c r="CP16" i="1"/>
  <c r="CS16" i="1" s="1"/>
  <c r="CP11" i="1"/>
  <c r="CS11" i="1" s="1"/>
  <c r="CP12" i="1"/>
  <c r="CS12" i="1" s="1"/>
  <c r="CP13" i="1"/>
  <c r="CS13" i="1" s="1"/>
  <c r="CA10" i="1"/>
  <c r="CD10" i="1" s="1"/>
  <c r="CA18" i="1"/>
  <c r="CD18" i="1" s="1"/>
  <c r="CA7" i="1"/>
  <c r="CA11" i="1"/>
  <c r="CD11" i="1" s="1"/>
  <c r="CA17" i="1"/>
  <c r="CD17" i="1" s="1"/>
  <c r="BQ17" i="1"/>
  <c r="BT17" i="1" s="1"/>
  <c r="CZ17" i="1"/>
  <c r="DC17" i="1" s="1"/>
  <c r="CZ15" i="1"/>
  <c r="DC15" i="1" s="1"/>
  <c r="CZ8" i="1"/>
  <c r="DC8" i="1" s="1"/>
  <c r="CZ11" i="1"/>
  <c r="DC11" i="1" s="1"/>
  <c r="CZ12" i="1"/>
  <c r="DC12" i="1" s="1"/>
  <c r="CZ18" i="1"/>
  <c r="DC18" i="1" s="1"/>
  <c r="CZ9" i="1"/>
  <c r="DC9" i="1" s="1"/>
  <c r="BL18" i="1"/>
  <c r="BO18" i="1" s="1"/>
  <c r="BQ8" i="1"/>
  <c r="BT8" i="1" s="1"/>
  <c r="CP14" i="1"/>
  <c r="CS14" i="1" s="1"/>
  <c r="CZ13" i="1"/>
  <c r="DC13" i="1" s="1"/>
  <c r="BL11" i="1"/>
  <c r="BO11" i="1" s="1"/>
  <c r="BQ9" i="1"/>
  <c r="BT9" i="1" s="1"/>
  <c r="BL17" i="1"/>
  <c r="BO17" i="1" s="1"/>
  <c r="BQ13" i="1"/>
  <c r="BT13" i="1" s="1"/>
  <c r="CA15" i="1"/>
  <c r="CD15" i="1" s="1"/>
  <c r="CA12" i="1"/>
  <c r="CD12" i="1" s="1"/>
  <c r="BQ10" i="1"/>
  <c r="BT10" i="1" s="1"/>
  <c r="BQ18" i="1"/>
  <c r="BT18" i="1" s="1"/>
  <c r="BQ12" i="1"/>
  <c r="BT12" i="1" s="1"/>
  <c r="BQ14" i="1"/>
  <c r="BT14" i="1" s="1"/>
  <c r="BQ15" i="1"/>
  <c r="BT15" i="1" s="1"/>
  <c r="BL8" i="1"/>
  <c r="BO8" i="1" s="1"/>
  <c r="BL15" i="1"/>
  <c r="BO15" i="1" s="1"/>
  <c r="N11" i="1"/>
  <c r="Q11" i="1" s="1"/>
  <c r="BL12" i="1"/>
  <c r="BO12" i="1" s="1"/>
  <c r="BO7" i="1"/>
  <c r="AC13" i="1"/>
  <c r="AF13" i="1" s="1"/>
  <c r="AH12" i="1"/>
  <c r="AK12" i="1" s="1"/>
  <c r="AH16" i="1"/>
  <c r="AK16" i="1" s="1"/>
  <c r="N8" i="1"/>
  <c r="Q8" i="1" s="1"/>
  <c r="N9" i="1"/>
  <c r="Q9" i="1" s="1"/>
  <c r="N17" i="1"/>
  <c r="Q17" i="1" s="1"/>
  <c r="N16" i="1"/>
  <c r="Q16" i="1" s="1"/>
  <c r="N15" i="1"/>
  <c r="Q15" i="1" s="1"/>
  <c r="N13" i="1"/>
  <c r="Q13" i="1" s="1"/>
  <c r="N12" i="1"/>
  <c r="Q12" i="1" s="1"/>
  <c r="AC14" i="1"/>
  <c r="AF14" i="1" s="1"/>
  <c r="BB17" i="1"/>
  <c r="BE17" i="1" s="1"/>
  <c r="BB7" i="1"/>
  <c r="BE7" i="1" s="1"/>
  <c r="AW17" i="1"/>
  <c r="AZ17" i="1" s="1"/>
  <c r="AW12" i="1"/>
  <c r="AZ12" i="1" s="1"/>
  <c r="AW14" i="1"/>
  <c r="AZ14" i="1" s="1"/>
  <c r="AW9" i="1"/>
  <c r="AZ9" i="1" s="1"/>
  <c r="AW18" i="1"/>
  <c r="AZ18" i="1" s="1"/>
  <c r="AW11" i="1"/>
  <c r="AZ11" i="1" s="1"/>
  <c r="AW16" i="1"/>
  <c r="AZ16" i="1" s="1"/>
  <c r="AW15" i="1"/>
  <c r="AZ15" i="1" s="1"/>
  <c r="AW7" i="1"/>
  <c r="AZ7" i="1" s="1"/>
  <c r="AW13" i="1"/>
  <c r="AZ13" i="1" s="1"/>
  <c r="AW10" i="1"/>
  <c r="AZ10" i="1" s="1"/>
  <c r="AR13" i="1"/>
  <c r="AU13" i="1" s="1"/>
  <c r="AR18" i="1"/>
  <c r="AU18" i="1" s="1"/>
  <c r="AH11" i="1"/>
  <c r="AK11" i="1" s="1"/>
  <c r="AH10" i="1"/>
  <c r="AK10" i="1" s="1"/>
  <c r="AH8" i="1"/>
  <c r="AK8" i="1" s="1"/>
  <c r="N14" i="1"/>
  <c r="Q14" i="1" s="1"/>
  <c r="AH18" i="1"/>
  <c r="AK18" i="1" s="1"/>
  <c r="S8" i="1"/>
  <c r="V8" i="1" s="1"/>
  <c r="S9" i="1"/>
  <c r="V9" i="1" s="1"/>
  <c r="AR7" i="1"/>
  <c r="AU7" i="1" s="1"/>
  <c r="AR11" i="1"/>
  <c r="AU11" i="1" s="1"/>
  <c r="AH15" i="1"/>
  <c r="AK15" i="1" s="1"/>
  <c r="N10" i="1"/>
  <c r="Q10" i="1" s="1"/>
  <c r="BG7" i="1"/>
  <c r="BJ7" i="1" s="1"/>
  <c r="BG8" i="1"/>
  <c r="BJ8" i="1" s="1"/>
  <c r="BG10" i="1"/>
  <c r="BJ10" i="1" s="1"/>
  <c r="BG18" i="1"/>
  <c r="BJ18" i="1" s="1"/>
  <c r="AC12" i="1"/>
  <c r="AF12" i="1" s="1"/>
  <c r="BG16" i="1"/>
  <c r="BJ16" i="1" s="1"/>
  <c r="AC11" i="1"/>
  <c r="AF11" i="1" s="1"/>
  <c r="BG12" i="1"/>
  <c r="BJ12" i="1" s="1"/>
  <c r="AC10" i="1"/>
  <c r="AF10" i="1" s="1"/>
  <c r="BG11" i="1"/>
  <c r="BJ11" i="1" s="1"/>
  <c r="AC9" i="1"/>
  <c r="AF9" i="1" s="1"/>
  <c r="AC7" i="1"/>
  <c r="AF7" i="1" s="1"/>
  <c r="AC8" i="1"/>
  <c r="AF8" i="1" s="1"/>
  <c r="AH14" i="1"/>
  <c r="AK14" i="1" s="1"/>
  <c r="BG15" i="1"/>
  <c r="BJ15" i="1" s="1"/>
  <c r="AC19" i="1"/>
  <c r="AH13" i="1"/>
  <c r="AK13" i="1" s="1"/>
  <c r="BG17" i="1"/>
  <c r="BJ17" i="1" s="1"/>
  <c r="S10" i="1"/>
  <c r="V10" i="1" s="1"/>
  <c r="AC16" i="1"/>
  <c r="AF16" i="1" s="1"/>
  <c r="AH7" i="1"/>
  <c r="S11" i="1"/>
  <c r="V11" i="1" s="1"/>
  <c r="AC17" i="1"/>
  <c r="AF17" i="1" s="1"/>
  <c r="AC18" i="1"/>
  <c r="AF18" i="1" s="1"/>
  <c r="AH9" i="1"/>
  <c r="AK9" i="1" s="1"/>
  <c r="AR8" i="1"/>
  <c r="AU8" i="1" s="1"/>
  <c r="AM10" i="1"/>
  <c r="AP10" i="1" s="1"/>
  <c r="BG13" i="1"/>
  <c r="BJ13" i="1" s="1"/>
  <c r="N18" i="1"/>
  <c r="Q18" i="1" s="1"/>
  <c r="BG9" i="1"/>
  <c r="BJ9" i="1" s="1"/>
  <c r="BG14" i="1"/>
  <c r="BJ14" i="1" s="1"/>
  <c r="AM18" i="1"/>
  <c r="AP18" i="1" s="1"/>
  <c r="AM9" i="1"/>
  <c r="AP9" i="1" s="1"/>
  <c r="AM15" i="1"/>
  <c r="AP15" i="1" s="1"/>
  <c r="AM11" i="1"/>
  <c r="AP11" i="1" s="1"/>
  <c r="AM12" i="1"/>
  <c r="AP12" i="1" s="1"/>
  <c r="AM7" i="1"/>
  <c r="AP7" i="1" s="1"/>
  <c r="AM14" i="1"/>
  <c r="AP14" i="1" s="1"/>
  <c r="AM13" i="1"/>
  <c r="AP13" i="1" s="1"/>
  <c r="AM8" i="1"/>
  <c r="AP8" i="1" s="1"/>
  <c r="AM17" i="1"/>
  <c r="AP17" i="1" s="1"/>
  <c r="AM16" i="1"/>
  <c r="AP16" i="1" s="1"/>
  <c r="BB12" i="1"/>
  <c r="BE12" i="1" s="1"/>
  <c r="BB16" i="1"/>
  <c r="BE16" i="1" s="1"/>
  <c r="BB9" i="1"/>
  <c r="BE9" i="1" s="1"/>
  <c r="BB14" i="1"/>
  <c r="BE14" i="1" s="1"/>
  <c r="BB15" i="1"/>
  <c r="BE15" i="1" s="1"/>
  <c r="BB8" i="1"/>
  <c r="BE8" i="1" s="1"/>
  <c r="BB11" i="1"/>
  <c r="BE11" i="1" s="1"/>
  <c r="AR12" i="1"/>
  <c r="AU12" i="1" s="1"/>
  <c r="AR14" i="1"/>
  <c r="AU14" i="1" s="1"/>
  <c r="AR16" i="1"/>
  <c r="AU16" i="1" s="1"/>
  <c r="AR10" i="1"/>
  <c r="AU10" i="1" s="1"/>
  <c r="AR15" i="1"/>
  <c r="AU15" i="1" s="1"/>
  <c r="AR9" i="1"/>
  <c r="AU9" i="1" s="1"/>
  <c r="S12" i="1"/>
  <c r="V12" i="1" s="1"/>
  <c r="S14" i="1"/>
  <c r="V14" i="1" s="1"/>
  <c r="BB10" i="1"/>
  <c r="BE10" i="1" s="1"/>
  <c r="BB18" i="1"/>
  <c r="BE18" i="1" s="1"/>
  <c r="S13" i="1"/>
  <c r="V13" i="1" s="1"/>
  <c r="S15" i="1"/>
  <c r="V15" i="1" s="1"/>
  <c r="S18" i="1"/>
  <c r="V18" i="1" s="1"/>
  <c r="S16" i="1"/>
  <c r="V16" i="1" s="1"/>
  <c r="S7" i="1"/>
  <c r="V7" i="1" s="1"/>
  <c r="S17" i="1"/>
  <c r="V17" i="1" s="1"/>
  <c r="X7" i="1"/>
  <c r="AA7" i="1" s="1"/>
  <c r="X9" i="1"/>
  <c r="AA9" i="1" s="1"/>
  <c r="X8" i="1"/>
  <c r="AA8" i="1" s="1"/>
  <c r="X15" i="1"/>
  <c r="AA15" i="1" s="1"/>
  <c r="X14" i="1"/>
  <c r="AA14" i="1" s="1"/>
  <c r="X13" i="1"/>
  <c r="AA13" i="1" s="1"/>
  <c r="X12" i="1"/>
  <c r="AA12" i="1" s="1"/>
  <c r="X11" i="1"/>
  <c r="AA11" i="1" s="1"/>
  <c r="X10" i="1"/>
  <c r="AA10" i="1" s="1"/>
  <c r="X18" i="1"/>
  <c r="AA18" i="1" s="1"/>
  <c r="X17" i="1"/>
  <c r="AA17" i="1" s="1"/>
  <c r="X16" i="1"/>
  <c r="AA16" i="1" s="1"/>
  <c r="K19" i="1"/>
  <c r="K21" i="1" s="1"/>
  <c r="D4" i="10" s="1"/>
  <c r="FU19" i="1" l="1"/>
  <c r="FU21" i="1" s="1"/>
  <c r="FW19" i="1"/>
  <c r="FR19" i="1"/>
  <c r="BY19" i="1"/>
  <c r="BY21" i="1" s="1"/>
  <c r="D20" i="10" s="1"/>
  <c r="FF19" i="1"/>
  <c r="FF21" i="1" s="1"/>
  <c r="FH19" i="1"/>
  <c r="FK7" i="1"/>
  <c r="FK19" i="1" s="1"/>
  <c r="FK21" i="1" s="1"/>
  <c r="HI19" i="1"/>
  <c r="HI21" i="1" s="1"/>
  <c r="FM19" i="1"/>
  <c r="FP7" i="1"/>
  <c r="FP19" i="1" s="1"/>
  <c r="FP21" i="1" s="1"/>
  <c r="DT19" i="1"/>
  <c r="GL19" i="1"/>
  <c r="GQ19" i="1"/>
  <c r="GT7" i="1"/>
  <c r="GT19" i="1" s="1"/>
  <c r="GT21" i="1" s="1"/>
  <c r="FA19" i="1"/>
  <c r="FA21" i="1" s="1"/>
  <c r="GJ19" i="1"/>
  <c r="GJ21" i="1" s="1"/>
  <c r="HP19" i="1"/>
  <c r="GG19" i="1"/>
  <c r="HK19" i="1"/>
  <c r="GE7" i="1"/>
  <c r="GE19" i="1" s="1"/>
  <c r="GE21" i="1" s="1"/>
  <c r="GB19" i="1"/>
  <c r="FC19" i="1"/>
  <c r="HA19" i="1"/>
  <c r="HD7" i="1"/>
  <c r="HD19" i="1" s="1"/>
  <c r="HD21" i="1" s="1"/>
  <c r="GV19" i="1"/>
  <c r="GY7" i="1"/>
  <c r="GY19" i="1" s="1"/>
  <c r="GY21" i="1" s="1"/>
  <c r="HF19" i="1"/>
  <c r="FZ7" i="1"/>
  <c r="FZ19" i="1" s="1"/>
  <c r="FZ21" i="1" s="1"/>
  <c r="EX19" i="1"/>
  <c r="ES19" i="1"/>
  <c r="DY19" i="1"/>
  <c r="EN19" i="1"/>
  <c r="EQ7" i="1"/>
  <c r="EQ19" i="1" s="1"/>
  <c r="EQ21" i="1" s="1"/>
  <c r="D37" i="10" s="1"/>
  <c r="DE19" i="1"/>
  <c r="DH7" i="1"/>
  <c r="DH19" i="1" s="1"/>
  <c r="DH21" i="1" s="1"/>
  <c r="D29" i="10" s="1"/>
  <c r="ED19" i="1"/>
  <c r="EG7" i="1"/>
  <c r="EG19" i="1" s="1"/>
  <c r="EG21" i="1" s="1"/>
  <c r="D35" i="10" s="1"/>
  <c r="BV19" i="1"/>
  <c r="DJ19" i="1"/>
  <c r="DM7" i="1"/>
  <c r="DM19" i="1" s="1"/>
  <c r="DM21" i="1" s="1"/>
  <c r="D30" i="10" s="1"/>
  <c r="DO19" i="1"/>
  <c r="DR7" i="1"/>
  <c r="DR19" i="1" s="1"/>
  <c r="DR21" i="1" s="1"/>
  <c r="D31" i="10" s="1"/>
  <c r="DC19" i="1"/>
  <c r="DC21" i="1" s="1"/>
  <c r="D28" i="10" s="1"/>
  <c r="EL7" i="1"/>
  <c r="EL19" i="1" s="1"/>
  <c r="EL21" i="1" s="1"/>
  <c r="D36" i="10" s="1"/>
  <c r="EI19" i="1"/>
  <c r="CZ19" i="1"/>
  <c r="EB19" i="1"/>
  <c r="EB21" i="1" s="1"/>
  <c r="D34" i="10" s="1"/>
  <c r="CX19" i="1"/>
  <c r="CX21" i="1" s="1"/>
  <c r="D26" i="10" s="1"/>
  <c r="CU19" i="1"/>
  <c r="CS19" i="1"/>
  <c r="CS21" i="1" s="1"/>
  <c r="D25" i="10" s="1"/>
  <c r="CI7" i="1"/>
  <c r="CI19" i="1" s="1"/>
  <c r="CI21" i="1" s="1"/>
  <c r="D23" i="10" s="1"/>
  <c r="CD7" i="1"/>
  <c r="CD19" i="1" s="1"/>
  <c r="CD21" i="1" s="1"/>
  <c r="D22" i="10" s="1"/>
  <c r="CA19" i="1"/>
  <c r="BT19" i="1"/>
  <c r="BT21" i="1" s="1"/>
  <c r="D18" i="10" s="1"/>
  <c r="BL19" i="1"/>
  <c r="BO19" i="1"/>
  <c r="BO21" i="1" s="1"/>
  <c r="D17" i="10" s="1"/>
  <c r="BQ19" i="1"/>
  <c r="BJ19" i="1"/>
  <c r="BJ21" i="1" s="1"/>
  <c r="D16" i="10" s="1"/>
  <c r="AU19" i="1"/>
  <c r="AU21" i="1" s="1"/>
  <c r="D12" i="10" s="1"/>
  <c r="AZ19" i="1"/>
  <c r="AZ21" i="1" s="1"/>
  <c r="D13" i="10" s="1"/>
  <c r="AW19" i="1"/>
  <c r="BG19" i="1"/>
  <c r="AF19" i="1"/>
  <c r="AF21" i="1" s="1"/>
  <c r="D8" i="10" s="1"/>
  <c r="AH19" i="1"/>
  <c r="AK7" i="1"/>
  <c r="AK19" i="1" s="1"/>
  <c r="AK21" i="1" s="1"/>
  <c r="D10" i="10" s="1"/>
  <c r="Q19" i="1"/>
  <c r="Q21" i="1" s="1"/>
  <c r="D5" i="10" s="1"/>
  <c r="N19" i="1"/>
  <c r="AP19" i="1"/>
  <c r="AP21" i="1" s="1"/>
  <c r="D11" i="10" s="1"/>
  <c r="AM19" i="1"/>
  <c r="AR19" i="1"/>
  <c r="BB19" i="1"/>
  <c r="BE19" i="1"/>
  <c r="BE21" i="1" s="1"/>
  <c r="D14" i="10" s="1"/>
  <c r="AA19" i="1"/>
  <c r="AA21" i="1" s="1"/>
  <c r="D7" i="10" s="1"/>
  <c r="V19" i="1"/>
  <c r="V21" i="1" s="1"/>
  <c r="D6" i="10" s="1"/>
  <c r="X19" i="1"/>
  <c r="Y61" i="3" l="1"/>
  <c r="Y57" i="3"/>
  <c r="Y54" i="3"/>
  <c r="Y55" i="3"/>
  <c r="Y51" i="3"/>
  <c r="Y53" i="3"/>
  <c r="Y60" i="3"/>
  <c r="Y52" i="3"/>
  <c r="Y58" i="3"/>
  <c r="Y56" i="3"/>
  <c r="Y50" i="3"/>
  <c r="Y59" i="3"/>
</calcChain>
</file>

<file path=xl/sharedStrings.xml><?xml version="1.0" encoding="utf-8"?>
<sst xmlns="http://schemas.openxmlformats.org/spreadsheetml/2006/main" count="892" uniqueCount="233">
  <si>
    <t>Company Name</t>
  </si>
  <si>
    <t>Price (₹)</t>
  </si>
  <si>
    <t>Market Cap (₹ Cr.)</t>
  </si>
  <si>
    <t>State Bank of India (SBI)</t>
  </si>
  <si>
    <t>Bank of Baroda (BOB)</t>
  </si>
  <si>
    <t>Union Bank of India</t>
  </si>
  <si>
    <t>Punjab National Bank (PNB)</t>
  </si>
  <si>
    <t>Canara Bank</t>
  </si>
  <si>
    <t>Indian Bank</t>
  </si>
  <si>
    <t>Bank of India (BOI)</t>
  </si>
  <si>
    <t>Indian Overseas Bank (IOB)</t>
  </si>
  <si>
    <t>Bank of Maharashtra</t>
  </si>
  <si>
    <t>Central Bank of India</t>
  </si>
  <si>
    <t>UCO Bank</t>
  </si>
  <si>
    <t>Punjab &amp; Sind Bank</t>
  </si>
  <si>
    <t xml:space="preserve">Days weight </t>
  </si>
  <si>
    <t>PE Ratio</t>
  </si>
  <si>
    <t xml:space="preserve">S. No. </t>
  </si>
  <si>
    <t>Companies Overvalued</t>
  </si>
  <si>
    <t>PEG Ratio</t>
  </si>
  <si>
    <t>Growth Rate %</t>
  </si>
  <si>
    <t>Gross NPA Ratio</t>
  </si>
  <si>
    <t>Net Interest Margin</t>
  </si>
  <si>
    <t>Return on Assets</t>
  </si>
  <si>
    <t>Capital Adequacy Ratio</t>
  </si>
  <si>
    <t>P/B Ratio (Price to Book Ratio)</t>
  </si>
  <si>
    <t>To check loan quality , Higher NPA = more risk + lower profits, “This ratio helps us understand whether the bank is giving safe loans or risky ones.”</t>
  </si>
  <si>
    <t>To check core earning ability , NIM shows how efficiently the bank earns from the difference between int earned on loans given and paid on deposits made, “This tells us how well the bank is making money from its main business.”</t>
  </si>
  <si>
    <t>To check efficiency , “This shows how efficiently the bank is using its resources to earn profit.”</t>
  </si>
  <si>
    <t>To check safety , Higher CAR = safer bank , “This tells us how strong and stable the bank is during risky situations.”</t>
  </si>
  <si>
    <t>To check valuation , Banks are valued based on their assets (book value) , “This shows whether the bank’s stock is fairly priced compared to its actual worth.”</t>
  </si>
  <si>
    <t>Gross NPA measures asset quality, NIM reflects core earning ability, ROA indicates efficiency in using assets, CAR ensures financial stability, and P/B ratio helps in valuation analysis. Together, these ratios give a comprehensive view of risk, profitability, efficiency, and market valuation of banks.”</t>
  </si>
  <si>
    <t>“Why only these 5?”</t>
  </si>
  <si>
    <t>“Because banking is an asset-driven industry, so I focused on asset quality, profitability, safety, and valuation rather than general ratios.”</t>
  </si>
  <si>
    <t xml:space="preserve"> </t>
  </si>
  <si>
    <t>Why NOT Others in Top 5?</t>
  </si>
  <si>
    <t>Percentage Change</t>
  </si>
  <si>
    <t>Net Change</t>
  </si>
  <si>
    <t>No. Of Shares</t>
  </si>
  <si>
    <t>New Market Cap</t>
  </si>
  <si>
    <t>New Weight</t>
  </si>
  <si>
    <t>Total Sector Market Cap</t>
  </si>
  <si>
    <t>Companies Undervalued</t>
  </si>
  <si>
    <t>Price</t>
  </si>
  <si>
    <t>Average of the Industry (Sector PE)</t>
  </si>
  <si>
    <t>Revenue</t>
  </si>
  <si>
    <t>Profit</t>
  </si>
  <si>
    <t>Change in Revenue</t>
  </si>
  <si>
    <t>Change in Profit</t>
  </si>
  <si>
    <t>Mar25</t>
  </si>
  <si>
    <t>Mar26</t>
  </si>
  <si>
    <t>Select/Reject</t>
  </si>
  <si>
    <t>Value Pick</t>
  </si>
  <si>
    <t>Closing Price</t>
  </si>
  <si>
    <t>Between 0 to 1.5 - Accept</t>
  </si>
  <si>
    <t>Above 1.5 &amp; Below 0  - Reject</t>
  </si>
  <si>
    <t>Growth Pick</t>
  </si>
  <si>
    <t>Profit Inc &amp; Revenue Inc - Accept</t>
  </si>
  <si>
    <t>Profit Inc &amp; Revenue Dec - Accept</t>
  </si>
  <si>
    <t>Profit Dec &amp; Revenue Inc - Accept</t>
  </si>
  <si>
    <t>Profit Dec &amp; Revenue Dec - Reject</t>
  </si>
  <si>
    <t>Value + Growth Pick</t>
  </si>
  <si>
    <t>Ratios</t>
  </si>
  <si>
    <t>Rank</t>
  </si>
  <si>
    <t>Overvalued</t>
  </si>
  <si>
    <t>Undervalued</t>
  </si>
  <si>
    <t>Gross NPA Ratio (%)</t>
  </si>
  <si>
    <t>Net Interest Margin (%)</t>
  </si>
  <si>
    <t>Return on Assets (%)</t>
  </si>
  <si>
    <t>Capital Adequacy Ratio (%)</t>
  </si>
  <si>
    <t>P/B Ratio (Times)</t>
  </si>
  <si>
    <t>Total Rank</t>
  </si>
  <si>
    <t>Lower is Better</t>
  </si>
  <si>
    <t>Higher is Better</t>
  </si>
  <si>
    <t>Final Rank</t>
  </si>
  <si>
    <t>11-05-2026 (Mon)</t>
  </si>
  <si>
    <t>12-05-2026 (Tues)</t>
  </si>
  <si>
    <t>13-05-2026 (Wed)</t>
  </si>
  <si>
    <t>14-05-2026 (Thurs)</t>
  </si>
  <si>
    <t>15-05-2026 (Fri)</t>
  </si>
  <si>
    <t>METHOD I</t>
  </si>
  <si>
    <t>METHOD II</t>
  </si>
  <si>
    <t>Ratio Weightage</t>
  </si>
  <si>
    <t>Weighted Rank</t>
  </si>
  <si>
    <t>Analysis</t>
  </si>
  <si>
    <t>Ratio</t>
  </si>
  <si>
    <t>Description</t>
  </si>
  <si>
    <t>Calculation</t>
  </si>
  <si>
    <t>P/E Ratio → Less relevant than P/B in banking</t>
  </si>
  <si>
    <t>ROE → Can be misleading due to leverage</t>
  </si>
  <si>
    <t>Cost-to-Income → Secondary efficiency metric</t>
  </si>
  <si>
    <t>Credit Growth → Important but not core</t>
  </si>
  <si>
    <t>Net NPA → Useful, but Gross NPA already covers risk</t>
  </si>
  <si>
    <t>Company Name (Ranked)</t>
  </si>
  <si>
    <t>No of Shares</t>
  </si>
  <si>
    <t>Assets allocattion</t>
  </si>
  <si>
    <t>Total AUM</t>
  </si>
  <si>
    <t>Weightage</t>
  </si>
  <si>
    <t>S.No</t>
  </si>
  <si>
    <t>AUM</t>
  </si>
  <si>
    <t>Total</t>
  </si>
  <si>
    <t>NAV</t>
  </si>
  <si>
    <t>18-05-2026 (Mon)</t>
  </si>
  <si>
    <t>19-05-2026 (Tues)</t>
  </si>
  <si>
    <t>20-05-2026 (Wed)</t>
  </si>
  <si>
    <t>21-05-2026 (Thurs)</t>
  </si>
  <si>
    <t>22-05-2026 (Fri)</t>
  </si>
  <si>
    <t>19-05-2026 (Tiues)</t>
  </si>
  <si>
    <t>w</t>
  </si>
  <si>
    <t>BANK OF BARODA</t>
  </si>
  <si>
    <t>PUNJAB NATIONAL BANK</t>
  </si>
  <si>
    <t>STATE BANK OF INDIA</t>
  </si>
  <si>
    <t>UCO BANK</t>
  </si>
  <si>
    <t>UNION BANK OF INDIA</t>
  </si>
  <si>
    <t>CANARA BANK</t>
  </si>
  <si>
    <t>INDIAN OVERSEAS BANK</t>
  </si>
  <si>
    <t>INDIAN BANK</t>
  </si>
  <si>
    <t>TECHNICAL ANALYSIS - SWING TRADING</t>
  </si>
  <si>
    <t>TECHNICAL ANALYSIS - LONG TERM</t>
  </si>
  <si>
    <t>Symbol</t>
  </si>
  <si>
    <t>SBIN</t>
  </si>
  <si>
    <t>BANKBARODA</t>
  </si>
  <si>
    <t>UNIONBANK</t>
  </si>
  <si>
    <t>PNB</t>
  </si>
  <si>
    <t>CANBK</t>
  </si>
  <si>
    <t>INDIANB</t>
  </si>
  <si>
    <t>BANKINDIA</t>
  </si>
  <si>
    <t>IOB</t>
  </si>
  <si>
    <t>MAHABANK</t>
  </si>
  <si>
    <t>CENTRALBK</t>
  </si>
  <si>
    <t>UCOBANK</t>
  </si>
  <si>
    <t>PSB</t>
  </si>
  <si>
    <t>TECHNICAL ANALYSIS - SHORT TERM</t>
  </si>
  <si>
    <t>BANK OF MAHARASHTRA</t>
  </si>
  <si>
    <t>COMPANIES</t>
  </si>
  <si>
    <t>PATTERN</t>
  </si>
  <si>
    <t>CURRENT TREND</t>
  </si>
  <si>
    <t>RECOMMENDATION</t>
  </si>
  <si>
    <t>LONG TERM</t>
  </si>
  <si>
    <t>Double Top</t>
  </si>
  <si>
    <t>Down Trend</t>
  </si>
  <si>
    <t>Sell</t>
  </si>
  <si>
    <t>Bump &amp; Run</t>
  </si>
  <si>
    <t>Cup with Handle</t>
  </si>
  <si>
    <t>Up Trend</t>
  </si>
  <si>
    <t>Buy</t>
  </si>
  <si>
    <t>SWING TRADING</t>
  </si>
  <si>
    <t>SHORT TERM</t>
  </si>
  <si>
    <t>Rectangle</t>
  </si>
  <si>
    <t>Price Channel</t>
  </si>
  <si>
    <t xml:space="preserve">Bearish Engulfing </t>
  </si>
  <si>
    <t>Hanging Man</t>
  </si>
  <si>
    <t>Inverted Hammer</t>
  </si>
  <si>
    <t>Shooting Star</t>
  </si>
  <si>
    <t>25-05-2026 (Mon)</t>
  </si>
  <si>
    <t>26-05-2026 (Tues)</t>
  </si>
  <si>
    <t>27-05-2026 (Wed)</t>
  </si>
  <si>
    <t>29-05-2026 (Fri)</t>
  </si>
  <si>
    <t>WEEK 1</t>
  </si>
  <si>
    <t>WEEK 2</t>
  </si>
  <si>
    <t>WEEK 3</t>
  </si>
  <si>
    <t>PUNJAB &amp; SIND BANK</t>
  </si>
  <si>
    <t>CENTRAL BANK OF INDIA</t>
  </si>
  <si>
    <t>BANK OF INDIA</t>
  </si>
  <si>
    <t xml:space="preserve">PUNJAB &amp; SIND BANK </t>
  </si>
  <si>
    <t>Rounding Bottom</t>
  </si>
  <si>
    <t>Descending Triangle</t>
  </si>
  <si>
    <t>Hammer</t>
  </si>
  <si>
    <t>Symmetric Triangle</t>
  </si>
  <si>
    <t>Doji</t>
  </si>
  <si>
    <t>Head &amp; Shoulders Top</t>
  </si>
  <si>
    <t>NOTES:</t>
  </si>
  <si>
    <t>1. Market closed on 28/05/26 (Thursday) on the occasion of Bakri Eid</t>
  </si>
  <si>
    <t>WEEK 4</t>
  </si>
  <si>
    <t>01-06-2026 (Mon)</t>
  </si>
  <si>
    <t>02-06-2026 (Tues)</t>
  </si>
  <si>
    <t>03-06-2026 (Wed)</t>
  </si>
  <si>
    <t>04-06-2026 (Thurs)</t>
  </si>
  <si>
    <t>05-06-2026 (Fri)</t>
  </si>
  <si>
    <t>Week 1</t>
  </si>
  <si>
    <t>Week 2</t>
  </si>
  <si>
    <t>Week 3</t>
  </si>
  <si>
    <t>Total Fund Units ( Assumed )</t>
  </si>
  <si>
    <t>DATE</t>
  </si>
  <si>
    <t>INDEX</t>
  </si>
  <si>
    <t>New Index</t>
  </si>
  <si>
    <t>2. Assumption : Index Base = 1,000</t>
  </si>
  <si>
    <t>M</t>
  </si>
  <si>
    <t>T</t>
  </si>
  <si>
    <t>W</t>
  </si>
  <si>
    <t>F</t>
  </si>
  <si>
    <t>DAY</t>
  </si>
  <si>
    <t>N/A</t>
  </si>
  <si>
    <t>Week 4</t>
  </si>
  <si>
    <t>08-06-2026 (Mon)</t>
  </si>
  <si>
    <t>09-06-2026 (Tues)</t>
  </si>
  <si>
    <t>10-06-2026 (Wed)</t>
  </si>
  <si>
    <t>11-06-2026 (Thurs)</t>
  </si>
  <si>
    <t>12-06-2026 (Fri)</t>
  </si>
  <si>
    <t>WEEK 5</t>
  </si>
  <si>
    <t>PSU BANKING SECTOR INDIA</t>
  </si>
  <si>
    <t xml:space="preserve">Weightage </t>
  </si>
  <si>
    <t xml:space="preserve">       SECTOR FUND</t>
  </si>
  <si>
    <t xml:space="preserve"> CALCULATING AUM </t>
  </si>
  <si>
    <t>DATES</t>
  </si>
  <si>
    <t>15-06-2026 (Mon)</t>
  </si>
  <si>
    <t>16-06-2026 (Tues)</t>
  </si>
  <si>
    <t>17-06-2026 (Wed)</t>
  </si>
  <si>
    <t>18-06-2026 (Thurs)</t>
  </si>
  <si>
    <t>19-06-2026 (Fri)</t>
  </si>
  <si>
    <t>WEEK 6</t>
  </si>
  <si>
    <t>Week 5</t>
  </si>
  <si>
    <t>WEEK 7</t>
  </si>
  <si>
    <t>22-06-2026 (Mon)</t>
  </si>
  <si>
    <t>23-06-2026 (Tues)</t>
  </si>
  <si>
    <t>24-06-2026 (Wed)</t>
  </si>
  <si>
    <t>25-06-2026 (Thurs)</t>
  </si>
  <si>
    <t>WEEK 8</t>
  </si>
  <si>
    <t>29-06-2026 (Mon)</t>
  </si>
  <si>
    <t>30-06-2026 (Tues)</t>
  </si>
  <si>
    <t>01-07-2026 (Wed)</t>
  </si>
  <si>
    <t>02-07-2026 (Thurs)</t>
  </si>
  <si>
    <t>03-07-2026 (Fri)</t>
  </si>
  <si>
    <t>06-07-2026 (Mon)</t>
  </si>
  <si>
    <t>WEEK 9</t>
  </si>
  <si>
    <t>07-07-2026 (Tues)</t>
  </si>
  <si>
    <t>08-07-2026 (Wed)</t>
  </si>
  <si>
    <t>09-07-2026 (Thurs)</t>
  </si>
  <si>
    <t>10-07-2026 (Fri)</t>
  </si>
  <si>
    <t>Week 6</t>
  </si>
  <si>
    <t>Week 7</t>
  </si>
  <si>
    <t>Week 8</t>
  </si>
  <si>
    <t>3. Market closed on 26/06/26 (Friday) due to Muharram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</si>
</sst>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
    <numFmt numFmtId="165" formatCode="0.000%"/>
    <numFmt numFmtId="166" formatCode="0.000"/>
    <numFmt numFmtId="167" formatCode="0.0"/>
    <numFmt numFmtId="168" formatCode="_ * #,##0_ ;_ * \-#,##0_ ;_ * &quot;-&quot;??_ ;_ @_ "/>
    <numFmt numFmtId="169" formatCode="#,##0.0000"/>
    <numFmt numFmtId="170" formatCode="[$-F800]dddd\,\ mmmm\ dd\,\ yyyy"/>
  </numFmts>
  <fonts count="29" x14ac:knownFonts="1">
    <font>
      <sz val="11"/>
      <color theme="1"/>
      <name val="Calibri"/>
      <family val="2"/>
      <scheme val="minor"/>
    </font>
    <font>
      <sz val="11"/>
      <color theme="1"/>
      <name val="Calibri"/>
      <family val="2"/>
      <scheme val="minor"/>
    </font>
    <font>
      <b/>
      <sz val="14"/>
      <name val="Times New Roman"/>
      <family val="1"/>
    </font>
    <font>
      <sz val="14"/>
      <name val="Times New Roman"/>
      <family val="1"/>
    </font>
    <font>
      <b/>
      <sz val="16"/>
      <name val="Times New Roman"/>
      <family val="1"/>
    </font>
    <font>
      <sz val="12"/>
      <name val="Times New Roman"/>
      <family val="1"/>
    </font>
    <font>
      <b/>
      <sz val="12"/>
      <name val="Times New Roman"/>
      <family val="1"/>
    </font>
    <font>
      <b/>
      <sz val="20"/>
      <name val="Times New Roman"/>
      <family val="1"/>
    </font>
    <font>
      <sz val="16"/>
      <name val="Times New Roman"/>
      <family val="1"/>
    </font>
    <font>
      <i/>
      <sz val="16"/>
      <name val="Times New Roman"/>
      <family val="1"/>
    </font>
    <font>
      <sz val="12"/>
      <color theme="1"/>
      <name val="Times New Roman"/>
      <family val="1"/>
    </font>
    <font>
      <b/>
      <sz val="12"/>
      <color rgb="FFFFFFFF"/>
      <name val="Times New Roman"/>
      <family val="1"/>
    </font>
    <font>
      <sz val="12"/>
      <color rgb="FF000080"/>
      <name val="Times New Roman"/>
      <family val="1"/>
    </font>
    <font>
      <b/>
      <sz val="12"/>
      <color theme="1"/>
      <name val="Times New Roman"/>
      <family val="1"/>
    </font>
    <font>
      <sz val="14"/>
      <color theme="1"/>
      <name val="Times New Roman"/>
      <family val="1"/>
    </font>
    <font>
      <b/>
      <sz val="14"/>
      <color rgb="FFFFFFFF"/>
      <name val="Times New Roman"/>
      <family val="1"/>
    </font>
    <font>
      <sz val="16"/>
      <color theme="1"/>
      <name val="Times New Roman"/>
      <family val="1"/>
    </font>
    <font>
      <b/>
      <sz val="16"/>
      <color rgb="FFFFFFFF"/>
      <name val="Times New Roman"/>
      <family val="1"/>
    </font>
    <font>
      <b/>
      <sz val="18"/>
      <color rgb="FFFFFFFF"/>
      <name val="Times New Roman"/>
      <family val="1"/>
    </font>
    <font>
      <sz val="18"/>
      <color theme="1"/>
      <name val="Times New Roman"/>
      <family val="1"/>
    </font>
    <font>
      <sz val="11"/>
      <color theme="1"/>
      <name val="Times New Roman"/>
      <family val="1"/>
    </font>
    <font>
      <sz val="30"/>
      <color theme="1"/>
      <name val="Times New Roman"/>
      <family val="1"/>
    </font>
    <font>
      <b/>
      <sz val="14"/>
      <color theme="1"/>
      <name val="Times New Roman"/>
      <family val="1"/>
    </font>
    <font>
      <sz val="11"/>
      <color theme="1"/>
      <name val="Calibri"/>
      <family val="2"/>
    </font>
    <font>
      <sz val="8"/>
      <name val="Calibri"/>
      <family val="2"/>
      <scheme val="minor"/>
    </font>
    <font>
      <b/>
      <sz val="32"/>
      <name val="Times New Roman"/>
      <family val="1"/>
    </font>
    <font>
      <sz val="20"/>
      <color theme="1"/>
      <name val="Times New Roman"/>
      <family val="1"/>
    </font>
    <font>
      <sz val="22"/>
      <color theme="1"/>
      <name val="Times New Roman"/>
      <family val="1"/>
    </font>
    <font>
      <b/>
      <sz val="24"/>
      <color rgb="FFFFFFFF"/>
      <name val="Times New Roman"/>
      <family val="1"/>
    </font>
  </fonts>
  <fills count="17">
    <fill>
      <patternFill patternType="none"/>
    </fill>
    <fill>
      <patternFill patternType="gray125"/>
    </fill>
    <fill>
      <patternFill patternType="solid">
        <fgColor rgb="FF003366"/>
      </patternFill>
    </fill>
    <fill>
      <patternFill patternType="solid">
        <fgColor rgb="FFE8EFF7"/>
      </patternFill>
    </fill>
    <fill>
      <patternFill patternType="solid">
        <fgColor rgb="FFFFFFFF"/>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00"/>
        <bgColor indexed="64"/>
      </patternFill>
    </fill>
  </fills>
  <borders count="7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
      <left style="thin">
        <color rgb="FFAAAAAA"/>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rgb="FFAAAAAA"/>
      </top>
      <bottom style="thin">
        <color rgb="FFAAAAAA"/>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right style="thin">
        <color indexed="64"/>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23" fillId="0" borderId="0"/>
    <xf numFmtId="9" fontId="23" fillId="0" borderId="0" applyFont="0" applyFill="0" applyBorder="0" applyAlignment="0" applyProtection="0"/>
  </cellStyleXfs>
  <cellXfs count="393">
    <xf numFmtId="0" fontId="0" fillId="0" borderId="0" xfId="0"/>
    <xf numFmtId="0" fontId="3" fillId="0" borderId="0" xfId="0" applyFont="1"/>
    <xf numFmtId="0" fontId="4" fillId="9" borderId="12"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9" borderId="18" xfId="0" applyFont="1" applyFill="1" applyBorder="1" applyAlignment="1">
      <alignment horizontal="center" vertical="center" wrapText="1"/>
    </xf>
    <xf numFmtId="0" fontId="5" fillId="0" borderId="0" xfId="0" applyFont="1"/>
    <xf numFmtId="0" fontId="6" fillId="0" borderId="0" xfId="0" applyFont="1" applyAlignment="1">
      <alignment horizontal="center" vertical="center"/>
    </xf>
    <xf numFmtId="0" fontId="5" fillId="0" borderId="0" xfId="0" applyFont="1" applyAlignment="1">
      <alignment horizontal="right"/>
    </xf>
    <xf numFmtId="0" fontId="2" fillId="0" borderId="0" xfId="0" applyFont="1" applyAlignment="1">
      <alignment horizontal="center"/>
    </xf>
    <xf numFmtId="0" fontId="8" fillId="0" borderId="0" xfId="0" applyFont="1"/>
    <xf numFmtId="0" fontId="9" fillId="0" borderId="0" xfId="0" applyFont="1"/>
    <xf numFmtId="4" fontId="8" fillId="0" borderId="14" xfId="0" applyNumberFormat="1" applyFont="1" applyBorder="1" applyAlignment="1">
      <alignment horizontal="right" vertical="center"/>
    </xf>
    <xf numFmtId="3" fontId="8" fillId="0" borderId="5" xfId="0" applyNumberFormat="1" applyFont="1" applyBorder="1" applyAlignment="1">
      <alignment horizontal="right" vertical="center"/>
    </xf>
    <xf numFmtId="0" fontId="8" fillId="0" borderId="14" xfId="0" applyFont="1" applyBorder="1" applyAlignment="1">
      <alignment horizontal="right"/>
    </xf>
    <xf numFmtId="10" fontId="8" fillId="0" borderId="5" xfId="0" applyNumberFormat="1" applyFont="1" applyBorder="1" applyAlignment="1">
      <alignment horizontal="center"/>
    </xf>
    <xf numFmtId="1" fontId="8" fillId="0" borderId="5" xfId="0" applyNumberFormat="1" applyFont="1" applyBorder="1" applyAlignment="1">
      <alignment horizontal="right"/>
    </xf>
    <xf numFmtId="2" fontId="8" fillId="0" borderId="5" xfId="0" applyNumberFormat="1" applyFont="1" applyBorder="1" applyAlignment="1">
      <alignment horizontal="right"/>
    </xf>
    <xf numFmtId="10" fontId="8" fillId="0" borderId="15" xfId="1" applyNumberFormat="1" applyFont="1" applyFill="1" applyBorder="1" applyAlignment="1">
      <alignment horizontal="right"/>
    </xf>
    <xf numFmtId="4" fontId="8" fillId="0" borderId="16" xfId="0" applyNumberFormat="1" applyFont="1" applyBorder="1" applyAlignment="1">
      <alignment horizontal="right" vertical="center"/>
    </xf>
    <xf numFmtId="3" fontId="8" fillId="0" borderId="19" xfId="0" applyNumberFormat="1" applyFont="1" applyBorder="1" applyAlignment="1">
      <alignment horizontal="right" vertical="center"/>
    </xf>
    <xf numFmtId="0" fontId="8" fillId="0" borderId="16" xfId="0" applyFont="1" applyBorder="1" applyAlignment="1">
      <alignment horizontal="right"/>
    </xf>
    <xf numFmtId="10" fontId="8" fillId="0" borderId="19" xfId="0" applyNumberFormat="1" applyFont="1" applyBorder="1" applyAlignment="1">
      <alignment horizontal="center"/>
    </xf>
    <xf numFmtId="1" fontId="8" fillId="0" borderId="19" xfId="0" applyNumberFormat="1" applyFont="1" applyBorder="1" applyAlignment="1">
      <alignment horizontal="right"/>
    </xf>
    <xf numFmtId="2" fontId="8" fillId="0" borderId="19" xfId="0" applyNumberFormat="1" applyFont="1" applyBorder="1" applyAlignment="1">
      <alignment horizontal="right"/>
    </xf>
    <xf numFmtId="10" fontId="8" fillId="0" borderId="17" xfId="1" applyNumberFormat="1" applyFont="1" applyFill="1" applyBorder="1" applyAlignment="1">
      <alignment horizontal="right"/>
    </xf>
    <xf numFmtId="3" fontId="4" fillId="0" borderId="11" xfId="0" applyNumberFormat="1" applyFont="1" applyBorder="1" applyAlignment="1">
      <alignment horizontal="right"/>
    </xf>
    <xf numFmtId="10" fontId="8" fillId="0" borderId="11" xfId="1" applyNumberFormat="1" applyFont="1" applyFill="1" applyBorder="1" applyAlignment="1">
      <alignment horizontal="center" vertical="center"/>
    </xf>
    <xf numFmtId="3" fontId="4" fillId="0" borderId="0" xfId="0" applyNumberFormat="1" applyFont="1" applyAlignment="1">
      <alignment horizontal="right"/>
    </xf>
    <xf numFmtId="0" fontId="8" fillId="0" borderId="0" xfId="0" applyFont="1" applyAlignment="1">
      <alignment horizontal="right"/>
    </xf>
    <xf numFmtId="165" fontId="8" fillId="0" borderId="0" xfId="1" applyNumberFormat="1" applyFont="1" applyFill="1" applyAlignment="1">
      <alignment horizontal="right"/>
    </xf>
    <xf numFmtId="10" fontId="4" fillId="0" borderId="11" xfId="0" applyNumberFormat="1" applyFont="1" applyBorder="1" applyAlignment="1">
      <alignment horizontal="center"/>
    </xf>
    <xf numFmtId="166" fontId="8" fillId="0" borderId="0" xfId="0" applyNumberFormat="1" applyFont="1" applyAlignment="1">
      <alignment horizontal="right"/>
    </xf>
    <xf numFmtId="0" fontId="4" fillId="0" borderId="5" xfId="0" applyFont="1" applyBorder="1" applyAlignment="1">
      <alignment horizontal="left" indent="1"/>
    </xf>
    <xf numFmtId="164" fontId="4" fillId="0" borderId="5" xfId="0" applyNumberFormat="1" applyFont="1" applyBorder="1" applyAlignment="1">
      <alignment horizontal="right"/>
    </xf>
    <xf numFmtId="10" fontId="8" fillId="0" borderId="15" xfId="1" applyNumberFormat="1" applyFont="1" applyBorder="1" applyAlignment="1">
      <alignment horizontal="right"/>
    </xf>
    <xf numFmtId="10" fontId="8" fillId="0" borderId="17" xfId="1" applyNumberFormat="1" applyFont="1" applyBorder="1" applyAlignment="1">
      <alignment horizontal="right"/>
    </xf>
    <xf numFmtId="9" fontId="4" fillId="0" borderId="11" xfId="1" applyFont="1" applyBorder="1" applyAlignment="1">
      <alignment horizontal="right"/>
    </xf>
    <xf numFmtId="164" fontId="4" fillId="5" borderId="5" xfId="0" applyNumberFormat="1" applyFont="1" applyFill="1" applyBorder="1" applyAlignment="1">
      <alignment horizontal="right"/>
    </xf>
    <xf numFmtId="10" fontId="8" fillId="0" borderId="5" xfId="1" applyNumberFormat="1" applyFont="1" applyFill="1" applyBorder="1" applyAlignment="1">
      <alignment horizontal="center"/>
    </xf>
    <xf numFmtId="10" fontId="8" fillId="0" borderId="19" xfId="1" applyNumberFormat="1" applyFont="1" applyFill="1" applyBorder="1" applyAlignment="1">
      <alignment horizontal="center"/>
    </xf>
    <xf numFmtId="0" fontId="10" fillId="0" borderId="0" xfId="0" applyFont="1"/>
    <xf numFmtId="0" fontId="11" fillId="0" borderId="0" xfId="0" applyFont="1" applyAlignment="1">
      <alignment horizontal="center" vertical="center" wrapText="1"/>
    </xf>
    <xf numFmtId="0" fontId="6" fillId="3" borderId="1" xfId="0" applyFont="1" applyFill="1" applyBorder="1" applyAlignment="1">
      <alignment horizontal="left" vertical="center" indent="1"/>
    </xf>
    <xf numFmtId="4" fontId="12" fillId="3" borderId="1" xfId="0" applyNumberFormat="1" applyFont="1" applyFill="1" applyBorder="1" applyAlignment="1">
      <alignment horizontal="center" vertical="center"/>
    </xf>
    <xf numFmtId="3" fontId="12" fillId="3" borderId="1" xfId="0" applyNumberFormat="1" applyFont="1" applyFill="1" applyBorder="1" applyAlignment="1">
      <alignment horizontal="right" vertical="center"/>
    </xf>
    <xf numFmtId="0" fontId="5" fillId="3" borderId="1" xfId="0" applyFont="1" applyFill="1" applyBorder="1" applyAlignment="1">
      <alignment horizontal="center" vertical="center"/>
    </xf>
    <xf numFmtId="0" fontId="6" fillId="4" borderId="1" xfId="0" applyFont="1" applyFill="1" applyBorder="1" applyAlignment="1">
      <alignment horizontal="left" vertical="center" indent="1"/>
    </xf>
    <xf numFmtId="4" fontId="12" fillId="4" borderId="1" xfId="0" applyNumberFormat="1" applyFont="1" applyFill="1" applyBorder="1" applyAlignment="1">
      <alignment horizontal="center" vertical="center"/>
    </xf>
    <xf numFmtId="3" fontId="12" fillId="4" borderId="1" xfId="0" applyNumberFormat="1" applyFont="1" applyFill="1" applyBorder="1" applyAlignment="1">
      <alignment horizontal="right" vertical="center"/>
    </xf>
    <xf numFmtId="0" fontId="5" fillId="4" borderId="1" xfId="0" applyFont="1" applyFill="1" applyBorder="1" applyAlignment="1">
      <alignment horizontal="center" vertical="center"/>
    </xf>
    <xf numFmtId="10" fontId="10" fillId="0" borderId="0" xfId="1" applyNumberFormat="1" applyFont="1"/>
    <xf numFmtId="0" fontId="10" fillId="0" borderId="29" xfId="0" applyFont="1" applyBorder="1" applyAlignment="1">
      <alignment wrapText="1"/>
    </xf>
    <xf numFmtId="0" fontId="10" fillId="0" borderId="31" xfId="0" applyFont="1" applyBorder="1" applyAlignment="1">
      <alignment wrapText="1"/>
    </xf>
    <xf numFmtId="0" fontId="10" fillId="0" borderId="29" xfId="0" applyFont="1" applyBorder="1"/>
    <xf numFmtId="0" fontId="10" fillId="0" borderId="30" xfId="0" applyFont="1" applyBorder="1"/>
    <xf numFmtId="0" fontId="10" fillId="0" borderId="31" xfId="0" applyFont="1" applyBorder="1"/>
    <xf numFmtId="10" fontId="10" fillId="0" borderId="14" xfId="1" applyNumberFormat="1" applyFont="1" applyFill="1" applyBorder="1"/>
    <xf numFmtId="10" fontId="10" fillId="0" borderId="5" xfId="1" applyNumberFormat="1" applyFont="1" applyFill="1" applyBorder="1"/>
    <xf numFmtId="0" fontId="10" fillId="0" borderId="5" xfId="0" applyFont="1" applyBorder="1"/>
    <xf numFmtId="10" fontId="10" fillId="0" borderId="16" xfId="1" applyNumberFormat="1" applyFont="1" applyFill="1" applyBorder="1"/>
    <xf numFmtId="10" fontId="10" fillId="0" borderId="19" xfId="1" applyNumberFormat="1" applyFont="1" applyFill="1" applyBorder="1"/>
    <xf numFmtId="0" fontId="10" fillId="0" borderId="19" xfId="0" applyFont="1" applyBorder="1"/>
    <xf numFmtId="10" fontId="10" fillId="0" borderId="12" xfId="1" applyNumberFormat="1" applyFont="1" applyFill="1" applyBorder="1"/>
    <xf numFmtId="0" fontId="10" fillId="0" borderId="18" xfId="0" applyFont="1" applyBorder="1"/>
    <xf numFmtId="10" fontId="10" fillId="0" borderId="18" xfId="1" applyNumberFormat="1" applyFont="1" applyFill="1" applyBorder="1"/>
    <xf numFmtId="0" fontId="10" fillId="0" borderId="18" xfId="0" applyFont="1" applyBorder="1" applyAlignment="1">
      <alignment horizontal="center"/>
    </xf>
    <xf numFmtId="0" fontId="10" fillId="0" borderId="11" xfId="0" applyFont="1" applyBorder="1" applyAlignment="1">
      <alignment horizontal="center"/>
    </xf>
    <xf numFmtId="0" fontId="10" fillId="0" borderId="39" xfId="0" applyFont="1" applyBorder="1" applyAlignment="1">
      <alignment horizontal="center"/>
    </xf>
    <xf numFmtId="0" fontId="10" fillId="0" borderId="13" xfId="0" applyFont="1" applyBorder="1" applyAlignment="1">
      <alignment horizontal="center"/>
    </xf>
    <xf numFmtId="0" fontId="10" fillId="0" borderId="24" xfId="0" applyFont="1" applyBorder="1" applyAlignment="1">
      <alignment horizontal="center"/>
    </xf>
    <xf numFmtId="0" fontId="10" fillId="0" borderId="40" xfId="0" applyFont="1" applyBorder="1" applyAlignment="1">
      <alignment horizontal="center"/>
    </xf>
    <xf numFmtId="0" fontId="10" fillId="0" borderId="47" xfId="0" applyFont="1" applyBorder="1" applyAlignment="1">
      <alignment horizontal="center"/>
    </xf>
    <xf numFmtId="0" fontId="10" fillId="0" borderId="36" xfId="0" applyFont="1" applyBorder="1" applyAlignment="1">
      <alignment horizontal="center"/>
    </xf>
    <xf numFmtId="0" fontId="10" fillId="0" borderId="48" xfId="0" applyFont="1" applyBorder="1" applyAlignment="1">
      <alignment horizontal="center"/>
    </xf>
    <xf numFmtId="0" fontId="14" fillId="0" borderId="0" xfId="0" applyFont="1" applyAlignment="1">
      <alignment horizontal="center" vertical="center"/>
    </xf>
    <xf numFmtId="0" fontId="16" fillId="0" borderId="0" xfId="0" applyFont="1" applyAlignment="1">
      <alignment horizontal="center" vertical="center"/>
    </xf>
    <xf numFmtId="0" fontId="16" fillId="0" borderId="32" xfId="0" applyFont="1" applyBorder="1" applyAlignment="1">
      <alignment horizontal="center" vertical="center"/>
    </xf>
    <xf numFmtId="0" fontId="17" fillId="11" borderId="29" xfId="0" applyFont="1" applyFill="1" applyBorder="1" applyAlignment="1">
      <alignment horizontal="center" vertical="center" wrapText="1"/>
    </xf>
    <xf numFmtId="10" fontId="13" fillId="0" borderId="38" xfId="1" applyNumberFormat="1" applyFont="1" applyBorder="1" applyAlignment="1">
      <alignment horizontal="center" vertical="center"/>
    </xf>
    <xf numFmtId="0" fontId="5" fillId="13" borderId="36" xfId="0" applyFont="1" applyFill="1" applyBorder="1" applyAlignment="1">
      <alignment horizontal="center"/>
    </xf>
    <xf numFmtId="0" fontId="15" fillId="2" borderId="1"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0" xfId="0" applyFont="1" applyFill="1" applyAlignment="1">
      <alignment horizontal="center" vertical="center" wrapText="1"/>
    </xf>
    <xf numFmtId="0" fontId="2" fillId="12" borderId="25" xfId="0" applyFont="1" applyFill="1" applyBorder="1" applyAlignment="1">
      <alignment horizontal="center" vertical="center"/>
    </xf>
    <xf numFmtId="0" fontId="2" fillId="12" borderId="26" xfId="0" applyFont="1" applyFill="1" applyBorder="1" applyAlignment="1">
      <alignment horizontal="center" vertical="center"/>
    </xf>
    <xf numFmtId="0" fontId="2" fillId="12" borderId="27" xfId="0" applyFont="1" applyFill="1" applyBorder="1" applyAlignment="1">
      <alignment horizontal="center" vertical="center"/>
    </xf>
    <xf numFmtId="0" fontId="2" fillId="12" borderId="10" xfId="0" applyFont="1" applyFill="1" applyBorder="1" applyAlignment="1">
      <alignment horizontal="center" vertical="center"/>
    </xf>
    <xf numFmtId="0" fontId="19" fillId="0" borderId="0" xfId="0" applyFont="1"/>
    <xf numFmtId="0" fontId="10" fillId="0" borderId="20" xfId="0" applyFont="1" applyBorder="1"/>
    <xf numFmtId="0" fontId="10" fillId="0" borderId="21" xfId="0" applyFont="1" applyBorder="1"/>
    <xf numFmtId="0" fontId="10" fillId="0" borderId="22" xfId="0" applyFont="1" applyBorder="1"/>
    <xf numFmtId="0" fontId="10" fillId="0" borderId="19" xfId="0" applyFont="1" applyBorder="1" applyAlignment="1">
      <alignment horizontal="center"/>
    </xf>
    <xf numFmtId="0" fontId="10" fillId="0" borderId="5" xfId="0" applyFont="1" applyBorder="1" applyAlignment="1">
      <alignment horizontal="center"/>
    </xf>
    <xf numFmtId="0" fontId="10" fillId="0" borderId="46" xfId="0" applyFont="1" applyBorder="1" applyAlignment="1">
      <alignment horizontal="center"/>
    </xf>
    <xf numFmtId="0" fontId="2" fillId="12" borderId="45" xfId="0" applyFont="1" applyFill="1" applyBorder="1" applyAlignment="1">
      <alignment horizontal="center" vertical="center"/>
    </xf>
    <xf numFmtId="0" fontId="6" fillId="13" borderId="43" xfId="0" applyFont="1" applyFill="1" applyBorder="1" applyAlignment="1">
      <alignment horizontal="left" vertical="center" indent="1"/>
    </xf>
    <xf numFmtId="10" fontId="10" fillId="13" borderId="14" xfId="1" applyNumberFormat="1" applyFont="1" applyFill="1" applyBorder="1"/>
    <xf numFmtId="0" fontId="10" fillId="13" borderId="11" xfId="0" applyFont="1" applyFill="1" applyBorder="1" applyAlignment="1">
      <alignment horizontal="center"/>
    </xf>
    <xf numFmtId="10" fontId="10" fillId="13" borderId="5" xfId="1" applyNumberFormat="1" applyFont="1" applyFill="1" applyBorder="1"/>
    <xf numFmtId="167" fontId="10" fillId="13" borderId="21" xfId="0" applyNumberFormat="1" applyFont="1" applyFill="1" applyBorder="1"/>
    <xf numFmtId="0" fontId="6" fillId="0" borderId="42" xfId="0" applyFont="1" applyBorder="1" applyAlignment="1">
      <alignment horizontal="left" vertical="center" indent="1"/>
    </xf>
    <xf numFmtId="0" fontId="6" fillId="0" borderId="43" xfId="0" applyFont="1" applyBorder="1" applyAlignment="1">
      <alignment horizontal="left" vertical="center" indent="1"/>
    </xf>
    <xf numFmtId="0" fontId="6" fillId="0" borderId="44" xfId="0" applyFont="1" applyBorder="1" applyAlignment="1">
      <alignment horizontal="left" vertical="center" indent="1"/>
    </xf>
    <xf numFmtId="0" fontId="6" fillId="14" borderId="43" xfId="0" applyFont="1" applyFill="1" applyBorder="1" applyAlignment="1">
      <alignment horizontal="left" vertical="center" indent="1"/>
    </xf>
    <xf numFmtId="10" fontId="10" fillId="14" borderId="14" xfId="1" applyNumberFormat="1" applyFont="1" applyFill="1" applyBorder="1"/>
    <xf numFmtId="0" fontId="10" fillId="14" borderId="11" xfId="0" applyFont="1" applyFill="1" applyBorder="1" applyAlignment="1">
      <alignment horizontal="center"/>
    </xf>
    <xf numFmtId="10" fontId="10" fillId="14" borderId="5" xfId="1" applyNumberFormat="1" applyFont="1" applyFill="1" applyBorder="1"/>
    <xf numFmtId="0" fontId="10" fillId="14" borderId="21" xfId="0" applyFont="1" applyFill="1" applyBorder="1"/>
    <xf numFmtId="0" fontId="10" fillId="14" borderId="36" xfId="0" applyFont="1" applyFill="1" applyBorder="1" applyAlignment="1">
      <alignment horizontal="center"/>
    </xf>
    <xf numFmtId="0" fontId="10" fillId="14" borderId="5" xfId="0" applyFont="1" applyFill="1" applyBorder="1"/>
    <xf numFmtId="0" fontId="10" fillId="14" borderId="24" xfId="0" applyFont="1" applyFill="1" applyBorder="1" applyAlignment="1">
      <alignment horizontal="center"/>
    </xf>
    <xf numFmtId="167" fontId="10" fillId="13" borderId="5" xfId="0" applyNumberFormat="1" applyFont="1" applyFill="1" applyBorder="1"/>
    <xf numFmtId="0" fontId="10" fillId="13" borderId="24" xfId="0" applyFont="1" applyFill="1" applyBorder="1" applyAlignment="1">
      <alignment horizontal="center"/>
    </xf>
    <xf numFmtId="0" fontId="10" fillId="13" borderId="36" xfId="0" applyFont="1" applyFill="1" applyBorder="1" applyAlignment="1">
      <alignment horizontal="center"/>
    </xf>
    <xf numFmtId="0" fontId="2" fillId="12" borderId="9" xfId="0" applyFont="1" applyFill="1" applyBorder="1" applyAlignment="1">
      <alignment horizontal="center" vertical="center" wrapText="1"/>
    </xf>
    <xf numFmtId="0" fontId="14" fillId="0" borderId="38" xfId="0" applyFont="1" applyBorder="1" applyAlignment="1">
      <alignment horizontal="center" vertical="center"/>
    </xf>
    <xf numFmtId="0" fontId="2" fillId="12" borderId="9" xfId="0" applyFont="1" applyFill="1" applyBorder="1" applyAlignment="1">
      <alignment horizontal="center" vertical="center"/>
    </xf>
    <xf numFmtId="0" fontId="10" fillId="0" borderId="20" xfId="0" applyFont="1" applyBorder="1" applyAlignment="1">
      <alignment horizontal="center"/>
    </xf>
    <xf numFmtId="0" fontId="10" fillId="0" borderId="50" xfId="0" applyFont="1" applyBorder="1" applyAlignment="1">
      <alignment horizontal="center"/>
    </xf>
    <xf numFmtId="0" fontId="10" fillId="13" borderId="50" xfId="0" applyFont="1" applyFill="1" applyBorder="1" applyAlignment="1">
      <alignment horizontal="center"/>
    </xf>
    <xf numFmtId="0" fontId="10" fillId="14" borderId="50" xfId="0" applyFont="1" applyFill="1" applyBorder="1" applyAlignment="1">
      <alignment horizontal="center"/>
    </xf>
    <xf numFmtId="0" fontId="10" fillId="0" borderId="21" xfId="0" applyFont="1" applyBorder="1" applyAlignment="1">
      <alignment horizontal="center"/>
    </xf>
    <xf numFmtId="0" fontId="10" fillId="0" borderId="41" xfId="0" applyFont="1" applyBorder="1" applyAlignment="1">
      <alignment horizontal="center"/>
    </xf>
    <xf numFmtId="0" fontId="2" fillId="12" borderId="38" xfId="0" applyFont="1" applyFill="1" applyBorder="1" applyAlignment="1">
      <alignment horizontal="center" vertical="center"/>
    </xf>
    <xf numFmtId="0" fontId="10" fillId="0" borderId="37" xfId="0" applyFont="1" applyBorder="1" applyAlignment="1">
      <alignment horizontal="center"/>
    </xf>
    <xf numFmtId="0" fontId="10" fillId="0" borderId="49" xfId="0" applyFont="1" applyBorder="1" applyAlignment="1">
      <alignment horizontal="center"/>
    </xf>
    <xf numFmtId="0" fontId="5" fillId="13" borderId="49" xfId="0" applyFont="1" applyFill="1" applyBorder="1" applyAlignment="1">
      <alignment horizontal="center"/>
    </xf>
    <xf numFmtId="0" fontId="10" fillId="14" borderId="49" xfId="0" applyFont="1" applyFill="1" applyBorder="1" applyAlignment="1">
      <alignment horizontal="center"/>
    </xf>
    <xf numFmtId="0" fontId="10" fillId="0" borderId="34" xfId="0" applyFont="1" applyBorder="1" applyAlignment="1">
      <alignment horizontal="center"/>
    </xf>
    <xf numFmtId="0" fontId="10" fillId="0" borderId="31" xfId="0" applyFont="1" applyBorder="1" applyAlignment="1">
      <alignment horizontal="center"/>
    </xf>
    <xf numFmtId="0" fontId="10" fillId="13" borderId="49" xfId="0" applyFont="1" applyFill="1" applyBorder="1" applyAlignment="1">
      <alignment horizontal="center"/>
    </xf>
    <xf numFmtId="0" fontId="2" fillId="12" borderId="51" xfId="0" applyFont="1" applyFill="1" applyBorder="1" applyAlignment="1">
      <alignment horizontal="center" vertical="center"/>
    </xf>
    <xf numFmtId="0" fontId="13" fillId="0" borderId="31" xfId="0" applyFont="1" applyBorder="1" applyAlignment="1">
      <alignment vertical="center" textRotation="90"/>
    </xf>
    <xf numFmtId="0" fontId="17" fillId="11" borderId="33" xfId="0" applyFont="1" applyFill="1" applyBorder="1" applyAlignment="1">
      <alignment horizontal="center" vertical="center" wrapText="1"/>
    </xf>
    <xf numFmtId="0" fontId="16" fillId="0" borderId="29" xfId="0" applyFont="1" applyBorder="1" applyAlignment="1">
      <alignment horizontal="center" vertical="center"/>
    </xf>
    <xf numFmtId="0" fontId="14" fillId="0" borderId="30" xfId="0" applyFont="1" applyBorder="1" applyAlignment="1">
      <alignment horizontal="center" vertical="center"/>
    </xf>
    <xf numFmtId="0" fontId="20" fillId="0" borderId="0" xfId="0" applyFont="1"/>
    <xf numFmtId="0" fontId="20" fillId="0" borderId="0" xfId="0" applyFont="1" applyAlignment="1">
      <alignment horizontal="left" vertical="center"/>
    </xf>
    <xf numFmtId="0" fontId="20" fillId="0" borderId="7" xfId="0" applyFont="1" applyBorder="1" applyAlignment="1">
      <alignment horizontal="center" vertical="center"/>
    </xf>
    <xf numFmtId="168" fontId="10" fillId="0" borderId="5" xfId="0" applyNumberFormat="1" applyFont="1" applyBorder="1" applyAlignment="1">
      <alignment horizontal="center"/>
    </xf>
    <xf numFmtId="168" fontId="10" fillId="0" borderId="5" xfId="2" applyNumberFormat="1" applyFont="1" applyBorder="1" applyAlignment="1">
      <alignment horizontal="center"/>
    </xf>
    <xf numFmtId="0" fontId="6" fillId="0" borderId="5" xfId="0" applyFont="1" applyBorder="1" applyAlignment="1">
      <alignment horizontal="left" vertical="center"/>
    </xf>
    <xf numFmtId="0" fontId="10" fillId="0" borderId="5" xfId="0" applyFont="1" applyBorder="1" applyAlignment="1">
      <alignment horizontal="right"/>
    </xf>
    <xf numFmtId="0" fontId="6" fillId="0" borderId="0" xfId="0" applyFont="1" applyAlignment="1">
      <alignment horizontal="left" vertical="center" indent="1"/>
    </xf>
    <xf numFmtId="3" fontId="10" fillId="0" borderId="0" xfId="0" applyNumberFormat="1" applyFont="1"/>
    <xf numFmtId="0" fontId="10" fillId="0" borderId="15" xfId="0" applyFont="1" applyBorder="1" applyAlignment="1">
      <alignment horizontal="center"/>
    </xf>
    <xf numFmtId="0" fontId="6" fillId="0" borderId="19" xfId="0" applyFont="1" applyBorder="1" applyAlignment="1">
      <alignment horizontal="left" vertical="center"/>
    </xf>
    <xf numFmtId="0" fontId="10" fillId="0" borderId="19" xfId="0" applyFont="1" applyBorder="1" applyAlignment="1">
      <alignment horizontal="right"/>
    </xf>
    <xf numFmtId="168" fontId="10" fillId="0" borderId="19" xfId="0" applyNumberFormat="1" applyFont="1" applyBorder="1" applyAlignment="1">
      <alignment horizontal="center"/>
    </xf>
    <xf numFmtId="168" fontId="10" fillId="0" borderId="19" xfId="2" applyNumberFormat="1" applyFont="1" applyBorder="1" applyAlignment="1">
      <alignment horizontal="center"/>
    </xf>
    <xf numFmtId="0" fontId="10" fillId="0" borderId="17" xfId="0" applyFont="1" applyBorder="1" applyAlignment="1">
      <alignment horizontal="center"/>
    </xf>
    <xf numFmtId="3" fontId="10" fillId="0" borderId="38" xfId="0" applyNumberFormat="1" applyFont="1" applyBorder="1"/>
    <xf numFmtId="0" fontId="6" fillId="0" borderId="38" xfId="0" applyFont="1" applyBorder="1" applyAlignment="1">
      <alignment horizontal="center" vertical="center"/>
    </xf>
    <xf numFmtId="0" fontId="7" fillId="0" borderId="0" xfId="0" applyFont="1" applyAlignment="1">
      <alignment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3" xfId="0" applyFont="1" applyBorder="1" applyAlignment="1">
      <alignment horizontal="center" vertical="center"/>
    </xf>
    <xf numFmtId="168" fontId="10" fillId="0" borderId="24" xfId="2" applyNumberFormat="1" applyFont="1" applyBorder="1" applyAlignment="1">
      <alignment horizontal="center"/>
    </xf>
    <xf numFmtId="168" fontId="10" fillId="0" borderId="11" xfId="2" applyNumberFormat="1" applyFont="1" applyBorder="1" applyAlignment="1">
      <alignment horizontal="right"/>
    </xf>
    <xf numFmtId="168" fontId="10" fillId="0" borderId="5" xfId="2" applyNumberFormat="1" applyFont="1" applyBorder="1" applyAlignment="1">
      <alignment horizontal="right"/>
    </xf>
    <xf numFmtId="168" fontId="10" fillId="0" borderId="19" xfId="2" applyNumberFormat="1" applyFont="1" applyBorder="1" applyAlignment="1">
      <alignment horizontal="right"/>
    </xf>
    <xf numFmtId="43" fontId="10" fillId="0" borderId="0" xfId="2" applyFont="1"/>
    <xf numFmtId="0" fontId="4" fillId="9" borderId="53" xfId="0" applyFont="1" applyFill="1" applyBorder="1" applyAlignment="1">
      <alignment horizontal="center" vertical="center" wrapText="1"/>
    </xf>
    <xf numFmtId="0" fontId="4" fillId="0" borderId="0" xfId="0" applyFont="1" applyAlignment="1">
      <alignment horizontal="left" indent="1"/>
    </xf>
    <xf numFmtId="3" fontId="4" fillId="0" borderId="61" xfId="0" applyNumberFormat="1" applyFont="1" applyBorder="1" applyAlignment="1">
      <alignment horizontal="right"/>
    </xf>
    <xf numFmtId="0" fontId="4" fillId="9" borderId="12" xfId="0" applyFont="1" applyFill="1" applyBorder="1" applyAlignment="1">
      <alignment horizontal="center"/>
    </xf>
    <xf numFmtId="0" fontId="4" fillId="9" borderId="18" xfId="0" applyFont="1" applyFill="1" applyBorder="1" applyAlignment="1">
      <alignment horizontal="center"/>
    </xf>
    <xf numFmtId="0" fontId="4" fillId="9" borderId="13" xfId="0" applyFont="1" applyFill="1" applyBorder="1" applyAlignment="1">
      <alignment horizontal="center"/>
    </xf>
    <xf numFmtId="4" fontId="8" fillId="0" borderId="43" xfId="0" applyNumberFormat="1" applyFont="1" applyBorder="1" applyAlignment="1">
      <alignment horizontal="right" vertical="center"/>
    </xf>
    <xf numFmtId="4" fontId="8" fillId="0" borderId="44" xfId="0" applyNumberFormat="1" applyFont="1" applyBorder="1" applyAlignment="1">
      <alignment horizontal="right" vertical="center"/>
    </xf>
    <xf numFmtId="10" fontId="8" fillId="0" borderId="15" xfId="1" applyNumberFormat="1" applyFont="1" applyFill="1" applyBorder="1" applyAlignment="1">
      <alignment horizontal="center" vertical="center"/>
    </xf>
    <xf numFmtId="10" fontId="8" fillId="0" borderId="17" xfId="1" applyNumberFormat="1" applyFont="1" applyFill="1" applyBorder="1" applyAlignment="1">
      <alignment horizontal="center" vertical="center"/>
    </xf>
    <xf numFmtId="0" fontId="8" fillId="0" borderId="43" xfId="0" applyFont="1" applyBorder="1" applyAlignment="1">
      <alignment horizontal="left" vertical="center" indent="1"/>
    </xf>
    <xf numFmtId="0" fontId="8" fillId="0" borderId="44" xfId="0" applyFont="1" applyBorder="1" applyAlignment="1">
      <alignment horizontal="left" vertical="center" indent="1"/>
    </xf>
    <xf numFmtId="0" fontId="10" fillId="0" borderId="0" xfId="0" applyFont="1" applyAlignment="1">
      <alignment horizontal="center"/>
    </xf>
    <xf numFmtId="0" fontId="5" fillId="0" borderId="0" xfId="0" applyFont="1" applyAlignment="1">
      <alignment horizontal="left" vertical="center"/>
    </xf>
    <xf numFmtId="0" fontId="10" fillId="0" borderId="38" xfId="0" applyFont="1" applyBorder="1" applyAlignment="1">
      <alignment horizontal="center"/>
    </xf>
    <xf numFmtId="0" fontId="5" fillId="0" borderId="37" xfId="0" applyFont="1" applyBorder="1" applyAlignment="1">
      <alignment horizontal="left" vertical="center"/>
    </xf>
    <xf numFmtId="0" fontId="5" fillId="0" borderId="34" xfId="0" applyFont="1" applyBorder="1" applyAlignment="1">
      <alignment horizontal="left" vertical="center"/>
    </xf>
    <xf numFmtId="0" fontId="5" fillId="0" borderId="35" xfId="0" applyFont="1" applyBorder="1" applyAlignment="1">
      <alignment horizontal="left" vertical="center"/>
    </xf>
    <xf numFmtId="0" fontId="10" fillId="5" borderId="25" xfId="0" applyFont="1" applyFill="1" applyBorder="1" applyAlignment="1">
      <alignment horizontal="center"/>
    </xf>
    <xf numFmtId="0" fontId="10" fillId="5" borderId="26" xfId="0" applyFont="1" applyFill="1" applyBorder="1" applyAlignment="1">
      <alignment horizontal="center"/>
    </xf>
    <xf numFmtId="0" fontId="10" fillId="5" borderId="27" xfId="0" applyFont="1" applyFill="1" applyBorder="1" applyAlignment="1">
      <alignment horizontal="center"/>
    </xf>
    <xf numFmtId="0" fontId="10" fillId="5" borderId="14" xfId="0" applyFont="1" applyFill="1" applyBorder="1" applyAlignment="1">
      <alignment horizontal="center"/>
    </xf>
    <xf numFmtId="0" fontId="10" fillId="5" borderId="5" xfId="0" applyFont="1" applyFill="1" applyBorder="1" applyAlignment="1">
      <alignment horizontal="center"/>
    </xf>
    <xf numFmtId="0" fontId="10" fillId="5" borderId="15" xfId="0" applyFont="1" applyFill="1" applyBorder="1" applyAlignment="1">
      <alignment horizontal="center"/>
    </xf>
    <xf numFmtId="0" fontId="10" fillId="5" borderId="16" xfId="0" applyFont="1" applyFill="1" applyBorder="1" applyAlignment="1">
      <alignment horizontal="center"/>
    </xf>
    <xf numFmtId="0" fontId="10" fillId="5" borderId="19" xfId="0" applyFont="1" applyFill="1" applyBorder="1" applyAlignment="1">
      <alignment horizontal="center"/>
    </xf>
    <xf numFmtId="0" fontId="10" fillId="5" borderId="17" xfId="0" applyFont="1" applyFill="1" applyBorder="1" applyAlignment="1">
      <alignment horizontal="center"/>
    </xf>
    <xf numFmtId="0" fontId="10" fillId="9" borderId="25" xfId="0" applyFont="1" applyFill="1" applyBorder="1" applyAlignment="1">
      <alignment horizontal="center"/>
    </xf>
    <xf numFmtId="0" fontId="10" fillId="9" borderId="26" xfId="0" applyFont="1" applyFill="1" applyBorder="1" applyAlignment="1">
      <alignment horizontal="center"/>
    </xf>
    <xf numFmtId="0" fontId="10" fillId="9" borderId="27" xfId="0" applyFont="1" applyFill="1" applyBorder="1" applyAlignment="1">
      <alignment horizontal="center"/>
    </xf>
    <xf numFmtId="0" fontId="10" fillId="9" borderId="12" xfId="0" applyFont="1" applyFill="1" applyBorder="1" applyAlignment="1">
      <alignment horizontal="center"/>
    </xf>
    <xf numFmtId="0" fontId="10" fillId="9" borderId="18" xfId="0" applyFont="1" applyFill="1" applyBorder="1" applyAlignment="1">
      <alignment horizontal="center"/>
    </xf>
    <xf numFmtId="0" fontId="10" fillId="9" borderId="13" xfId="0" applyFont="1" applyFill="1" applyBorder="1" applyAlignment="1">
      <alignment horizontal="center"/>
    </xf>
    <xf numFmtId="0" fontId="10" fillId="9" borderId="14" xfId="0" applyFont="1" applyFill="1" applyBorder="1" applyAlignment="1">
      <alignment horizontal="center"/>
    </xf>
    <xf numFmtId="0" fontId="10" fillId="9" borderId="5" xfId="0" applyFont="1" applyFill="1" applyBorder="1" applyAlignment="1">
      <alignment horizontal="center"/>
    </xf>
    <xf numFmtId="0" fontId="10" fillId="9" borderId="15" xfId="0" applyFont="1" applyFill="1" applyBorder="1" applyAlignment="1">
      <alignment horizontal="center"/>
    </xf>
    <xf numFmtId="0" fontId="10" fillId="9" borderId="16" xfId="0" applyFont="1" applyFill="1" applyBorder="1" applyAlignment="1">
      <alignment horizontal="center"/>
    </xf>
    <xf numFmtId="0" fontId="10" fillId="9" borderId="19" xfId="0" applyFont="1" applyFill="1" applyBorder="1" applyAlignment="1">
      <alignment horizontal="center"/>
    </xf>
    <xf numFmtId="0" fontId="10" fillId="9" borderId="17" xfId="0" applyFont="1" applyFill="1" applyBorder="1" applyAlignment="1">
      <alignment horizontal="center"/>
    </xf>
    <xf numFmtId="0" fontId="10" fillId="15" borderId="25" xfId="0" applyFont="1" applyFill="1" applyBorder="1" applyAlignment="1">
      <alignment horizontal="center"/>
    </xf>
    <xf numFmtId="0" fontId="10" fillId="15" borderId="26" xfId="0" applyFont="1" applyFill="1" applyBorder="1" applyAlignment="1">
      <alignment horizontal="center"/>
    </xf>
    <xf numFmtId="0" fontId="10" fillId="15" borderId="27" xfId="0" applyFont="1" applyFill="1" applyBorder="1" applyAlignment="1">
      <alignment horizontal="center"/>
    </xf>
    <xf numFmtId="0" fontId="10" fillId="15" borderId="14" xfId="0" applyFont="1" applyFill="1" applyBorder="1" applyAlignment="1">
      <alignment horizontal="center"/>
    </xf>
    <xf numFmtId="0" fontId="10" fillId="15" borderId="5" xfId="0" applyFont="1" applyFill="1" applyBorder="1" applyAlignment="1">
      <alignment horizontal="center"/>
    </xf>
    <xf numFmtId="0" fontId="10" fillId="15" borderId="15" xfId="0" applyFont="1" applyFill="1" applyBorder="1" applyAlignment="1">
      <alignment horizontal="center"/>
    </xf>
    <xf numFmtId="0" fontId="10" fillId="15" borderId="16" xfId="0" applyFont="1" applyFill="1" applyBorder="1" applyAlignment="1">
      <alignment horizontal="center"/>
    </xf>
    <xf numFmtId="0" fontId="10" fillId="15" borderId="19" xfId="0" applyFont="1" applyFill="1" applyBorder="1" applyAlignment="1">
      <alignment horizontal="center"/>
    </xf>
    <xf numFmtId="0" fontId="10" fillId="15" borderId="17" xfId="0" applyFont="1" applyFill="1" applyBorder="1" applyAlignment="1">
      <alignment horizontal="center"/>
    </xf>
    <xf numFmtId="3" fontId="8" fillId="0" borderId="14" xfId="0" applyNumberFormat="1" applyFont="1" applyBorder="1" applyAlignment="1">
      <alignment horizontal="right"/>
    </xf>
    <xf numFmtId="4" fontId="8" fillId="0" borderId="14" xfId="0" applyNumberFormat="1" applyFont="1" applyBorder="1" applyAlignment="1">
      <alignment horizontal="right"/>
    </xf>
    <xf numFmtId="0" fontId="6" fillId="0" borderId="50"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10" fillId="0" borderId="23" xfId="0" applyFont="1" applyBorder="1" applyAlignment="1">
      <alignment horizontal="right"/>
    </xf>
    <xf numFmtId="0" fontId="10" fillId="0" borderId="14" xfId="0" applyFont="1" applyBorder="1" applyAlignment="1">
      <alignment horizontal="right"/>
    </xf>
    <xf numFmtId="0" fontId="10" fillId="0" borderId="65" xfId="0" applyFont="1" applyBorder="1" applyAlignment="1">
      <alignment horizontal="right"/>
    </xf>
    <xf numFmtId="0" fontId="10" fillId="0" borderId="16" xfId="0" applyFont="1" applyBorder="1" applyAlignment="1">
      <alignment horizontal="right"/>
    </xf>
    <xf numFmtId="168" fontId="10" fillId="0" borderId="40" xfId="2" applyNumberFormat="1" applyFont="1" applyBorder="1" applyAlignment="1">
      <alignment horizontal="center"/>
    </xf>
    <xf numFmtId="2" fontId="10" fillId="0" borderId="14" xfId="0" applyNumberFormat="1" applyFont="1" applyBorder="1" applyAlignment="1">
      <alignment horizontal="right"/>
    </xf>
    <xf numFmtId="2" fontId="10" fillId="0" borderId="16" xfId="0" applyNumberFormat="1" applyFont="1" applyBorder="1" applyAlignment="1">
      <alignment horizontal="right"/>
    </xf>
    <xf numFmtId="10" fontId="8" fillId="0" borderId="24" xfId="1" applyNumberFormat="1" applyFont="1" applyBorder="1" applyAlignment="1">
      <alignment horizontal="right"/>
    </xf>
    <xf numFmtId="169" fontId="10" fillId="16" borderId="38" xfId="0" applyNumberFormat="1" applyFont="1" applyFill="1" applyBorder="1"/>
    <xf numFmtId="0" fontId="0" fillId="0" borderId="0" xfId="0" applyAlignment="1">
      <alignment horizontal="center" vertical="center"/>
    </xf>
    <xf numFmtId="170" fontId="0" fillId="0" borderId="0" xfId="0" applyNumberFormat="1" applyAlignment="1">
      <alignment horizontal="center" vertical="center"/>
    </xf>
    <xf numFmtId="0" fontId="0" fillId="0" borderId="0" xfId="0" applyAlignment="1">
      <alignment horizontal="right" vertical="center"/>
    </xf>
    <xf numFmtId="0" fontId="0" fillId="0" borderId="5" xfId="0" applyBorder="1" applyAlignment="1">
      <alignment horizontal="right" vertical="center"/>
    </xf>
    <xf numFmtId="14" fontId="0" fillId="0" borderId="5" xfId="0" applyNumberFormat="1" applyBorder="1" applyAlignment="1">
      <alignment horizontal="center" vertical="center"/>
    </xf>
    <xf numFmtId="10" fontId="4" fillId="0" borderId="11" xfId="0" applyNumberFormat="1" applyFont="1" applyBorder="1" applyAlignment="1">
      <alignment horizontal="right"/>
    </xf>
    <xf numFmtId="168" fontId="10" fillId="0" borderId="50" xfId="2" applyNumberFormat="1" applyFont="1" applyBorder="1" applyAlignment="1">
      <alignment horizontal="center"/>
    </xf>
    <xf numFmtId="168" fontId="10" fillId="0" borderId="64" xfId="2" applyNumberFormat="1" applyFont="1" applyBorder="1" applyAlignment="1">
      <alignment horizontal="center"/>
    </xf>
    <xf numFmtId="0" fontId="8" fillId="0" borderId="0" xfId="0" applyFont="1" applyAlignment="1">
      <alignment wrapText="1"/>
    </xf>
    <xf numFmtId="0" fontId="0" fillId="0" borderId="14" xfId="0" applyBorder="1" applyAlignment="1">
      <alignment horizontal="center" vertical="center"/>
    </xf>
    <xf numFmtId="0" fontId="0" fillId="0" borderId="15" xfId="0" applyBorder="1" applyAlignment="1">
      <alignment horizontal="right" vertical="center"/>
    </xf>
    <xf numFmtId="0" fontId="0" fillId="0" borderId="66" xfId="0" applyBorder="1" applyAlignment="1">
      <alignment horizontal="center" vertical="center"/>
    </xf>
    <xf numFmtId="14" fontId="0" fillId="0" borderId="0" xfId="0" applyNumberFormat="1" applyAlignment="1">
      <alignment horizontal="center" vertical="center"/>
    </xf>
    <xf numFmtId="0" fontId="0" fillId="0" borderId="67" xfId="0" applyBorder="1" applyAlignment="1">
      <alignment horizontal="center" vertical="center"/>
    </xf>
    <xf numFmtId="0" fontId="0" fillId="0" borderId="67" xfId="0" applyBorder="1" applyAlignment="1">
      <alignment horizontal="right" vertical="center"/>
    </xf>
    <xf numFmtId="0" fontId="0" fillId="0" borderId="16" xfId="0" applyBorder="1" applyAlignment="1">
      <alignment horizontal="center" vertical="center"/>
    </xf>
    <xf numFmtId="14" fontId="0" fillId="0" borderId="19" xfId="0" applyNumberFormat="1" applyBorder="1" applyAlignment="1">
      <alignment horizontal="center" vertical="center"/>
    </xf>
    <xf numFmtId="0" fontId="0" fillId="0" borderId="19" xfId="0" applyBorder="1" applyAlignment="1">
      <alignment horizontal="right" vertical="center"/>
    </xf>
    <xf numFmtId="0" fontId="0" fillId="0" borderId="17" xfId="0" applyBorder="1" applyAlignment="1">
      <alignment horizontal="right" vertical="center"/>
    </xf>
    <xf numFmtId="0" fontId="0" fillId="0" borderId="23" xfId="0"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right" vertical="center"/>
    </xf>
    <xf numFmtId="0" fontId="0" fillId="0" borderId="24" xfId="0" applyBorder="1" applyAlignment="1">
      <alignment horizontal="right" vertical="center"/>
    </xf>
    <xf numFmtId="0" fontId="26" fillId="0" borderId="0" xfId="0" applyFont="1"/>
    <xf numFmtId="0" fontId="10" fillId="0" borderId="21" xfId="0" applyFont="1" applyBorder="1" applyAlignment="1">
      <alignment horizontal="center" vertical="center"/>
    </xf>
    <xf numFmtId="0" fontId="10" fillId="0" borderId="21" xfId="0" applyFont="1" applyBorder="1" applyAlignment="1">
      <alignment horizontal="left" vertical="center" wrapText="1"/>
    </xf>
    <xf numFmtId="10" fontId="10" fillId="0" borderId="5" xfId="1" applyNumberFormat="1" applyFont="1" applyBorder="1" applyAlignment="1">
      <alignment horizontal="center" vertical="center"/>
    </xf>
    <xf numFmtId="0" fontId="20" fillId="0" borderId="0" xfId="0" applyFont="1" applyAlignment="1">
      <alignment horizontal="center"/>
    </xf>
    <xf numFmtId="0" fontId="10" fillId="5" borderId="14" xfId="0" applyFont="1" applyFill="1" applyBorder="1" applyAlignment="1">
      <alignment horizontal="center" vertical="center"/>
    </xf>
    <xf numFmtId="9" fontId="10" fillId="0" borderId="15" xfId="1" applyFont="1" applyBorder="1" applyAlignment="1">
      <alignment horizontal="center"/>
    </xf>
    <xf numFmtId="0" fontId="10" fillId="5" borderId="16" xfId="0" applyFont="1" applyFill="1" applyBorder="1" applyAlignment="1">
      <alignment horizontal="center" vertical="center"/>
    </xf>
    <xf numFmtId="0" fontId="10" fillId="0" borderId="22" xfId="0" applyFont="1" applyBorder="1" applyAlignment="1">
      <alignment horizontal="center" vertical="center"/>
    </xf>
    <xf numFmtId="0" fontId="10" fillId="0" borderId="22" xfId="0" applyFont="1" applyBorder="1" applyAlignment="1">
      <alignment horizontal="left" vertical="center" wrapText="1"/>
    </xf>
    <xf numFmtId="10" fontId="10" fillId="0" borderId="19" xfId="1" applyNumberFormat="1" applyFont="1" applyBorder="1" applyAlignment="1">
      <alignment horizontal="center" vertical="center"/>
    </xf>
    <xf numFmtId="9" fontId="10" fillId="0" borderId="17" xfId="1" applyFont="1" applyBorder="1" applyAlignment="1">
      <alignment horizontal="center"/>
    </xf>
    <xf numFmtId="0" fontId="10" fillId="5" borderId="23" xfId="0" applyFont="1" applyFill="1" applyBorder="1" applyAlignment="1">
      <alignment horizontal="center" vertical="center"/>
    </xf>
    <xf numFmtId="0" fontId="10" fillId="0" borderId="50" xfId="0" applyFont="1" applyBorder="1" applyAlignment="1">
      <alignment horizontal="center" vertical="center"/>
    </xf>
    <xf numFmtId="0" fontId="10" fillId="0" borderId="50" xfId="0" applyFont="1" applyBorder="1" applyAlignment="1">
      <alignment horizontal="left" vertical="center" wrapText="1"/>
    </xf>
    <xf numFmtId="10" fontId="10" fillId="0" borderId="11" xfId="1" applyNumberFormat="1" applyFont="1" applyBorder="1" applyAlignment="1">
      <alignment horizontal="center" vertical="center"/>
    </xf>
    <xf numFmtId="9" fontId="10" fillId="0" borderId="24" xfId="1" applyFont="1" applyBorder="1" applyAlignment="1">
      <alignment horizontal="center"/>
    </xf>
    <xf numFmtId="0" fontId="27" fillId="0" borderId="25" xfId="0" applyFont="1" applyBorder="1" applyAlignment="1">
      <alignment horizontal="center"/>
    </xf>
    <xf numFmtId="0" fontId="27" fillId="0" borderId="26" xfId="0" applyFont="1" applyBorder="1" applyAlignment="1">
      <alignment horizontal="center"/>
    </xf>
    <xf numFmtId="0" fontId="27" fillId="0" borderId="27" xfId="0" applyFont="1" applyBorder="1" applyAlignment="1">
      <alignment horizontal="center"/>
    </xf>
    <xf numFmtId="0" fontId="20" fillId="7" borderId="25" xfId="0" applyFont="1" applyFill="1" applyBorder="1" applyAlignment="1">
      <alignment horizontal="center" vertical="center"/>
    </xf>
    <xf numFmtId="0" fontId="20" fillId="0" borderId="26" xfId="0" applyFont="1" applyBorder="1" applyAlignment="1">
      <alignment horizontal="center" vertical="center"/>
    </xf>
    <xf numFmtId="0" fontId="20" fillId="7" borderId="27" xfId="0" applyFont="1" applyFill="1" applyBorder="1" applyAlignment="1">
      <alignment wrapText="1"/>
    </xf>
    <xf numFmtId="0" fontId="20" fillId="0" borderId="68" xfId="0" applyFont="1" applyBorder="1" applyAlignment="1">
      <alignment horizontal="center" vertical="center"/>
    </xf>
    <xf numFmtId="0" fontId="20" fillId="0" borderId="13" xfId="0" applyFont="1" applyBorder="1" applyAlignment="1">
      <alignment horizontal="left" vertical="center" wrapText="1"/>
    </xf>
    <xf numFmtId="0" fontId="20" fillId="0" borderId="15" xfId="0" applyFont="1" applyBorder="1" applyAlignment="1">
      <alignment horizontal="left" vertical="center" wrapText="1"/>
    </xf>
    <xf numFmtId="0" fontId="20" fillId="0" borderId="46" xfId="0" applyFont="1" applyBorder="1" applyAlignment="1">
      <alignment horizontal="center" vertical="center"/>
    </xf>
    <xf numFmtId="0" fontId="20" fillId="0" borderId="17" xfId="0" applyFont="1" applyBorder="1" applyAlignment="1">
      <alignment horizontal="left" vertical="center" wrapText="1"/>
    </xf>
    <xf numFmtId="0" fontId="14" fillId="0" borderId="14" xfId="0" applyFont="1" applyBorder="1" applyAlignment="1">
      <alignment horizontal="center"/>
    </xf>
    <xf numFmtId="0" fontId="14" fillId="0" borderId="16" xfId="0" applyFont="1" applyBorder="1" applyAlignment="1">
      <alignment horizontal="center"/>
    </xf>
    <xf numFmtId="0" fontId="4" fillId="9" borderId="52" xfId="0" applyFont="1" applyFill="1" applyBorder="1" applyAlignment="1">
      <alignment horizontal="center" vertical="center" wrapText="1"/>
    </xf>
    <xf numFmtId="0" fontId="4" fillId="0" borderId="11" xfId="0" applyFont="1" applyBorder="1" applyAlignment="1">
      <alignment horizontal="left" indent="1"/>
    </xf>
    <xf numFmtId="0" fontId="4" fillId="9" borderId="37" xfId="0" applyFont="1" applyFill="1" applyBorder="1" applyAlignment="1">
      <alignment horizontal="center" vertical="center" wrapText="1"/>
    </xf>
    <xf numFmtId="0" fontId="4" fillId="0" borderId="34" xfId="0" applyFont="1" applyBorder="1" applyAlignment="1">
      <alignment horizontal="left" vertical="center" indent="1"/>
    </xf>
    <xf numFmtId="0" fontId="4" fillId="0" borderId="35" xfId="0" applyFont="1" applyBorder="1" applyAlignment="1">
      <alignment horizontal="left" vertical="center" indent="1"/>
    </xf>
    <xf numFmtId="0" fontId="8" fillId="0" borderId="71" xfId="0" applyFont="1" applyBorder="1" applyAlignment="1">
      <alignment horizontal="center" vertical="center"/>
    </xf>
    <xf numFmtId="0" fontId="8" fillId="0" borderId="72" xfId="0" applyFont="1" applyBorder="1" applyAlignment="1">
      <alignment horizontal="center" vertical="center"/>
    </xf>
    <xf numFmtId="0" fontId="10" fillId="0" borderId="5" xfId="0" applyFont="1" applyBorder="1" applyAlignment="1">
      <alignment horizontal="center" vertical="center"/>
    </xf>
    <xf numFmtId="170" fontId="10" fillId="0" borderId="5" xfId="0" applyNumberFormat="1" applyFont="1" applyBorder="1" applyAlignment="1">
      <alignment horizontal="center" vertical="center"/>
    </xf>
    <xf numFmtId="0" fontId="0" fillId="0" borderId="5" xfId="0" applyBorder="1" applyAlignment="1">
      <alignment horizontal="center" vertical="center"/>
    </xf>
    <xf numFmtId="0" fontId="20" fillId="8" borderId="56" xfId="0" applyFont="1" applyFill="1" applyBorder="1" applyAlignment="1">
      <alignment horizontal="center" vertical="center"/>
    </xf>
    <xf numFmtId="0" fontId="20" fillId="8" borderId="65" xfId="0" applyFont="1" applyFill="1" applyBorder="1" applyAlignment="1">
      <alignment horizontal="center" vertical="center"/>
    </xf>
    <xf numFmtId="0" fontId="20" fillId="8" borderId="59" xfId="0" applyFont="1" applyFill="1" applyBorder="1" applyAlignment="1">
      <alignment horizontal="center" vertical="center"/>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14" fontId="4" fillId="0" borderId="8" xfId="0" applyNumberFormat="1" applyFont="1" applyBorder="1" applyAlignment="1">
      <alignment horizontal="center"/>
    </xf>
    <xf numFmtId="14" fontId="4" fillId="0" borderId="9" xfId="0" applyNumberFormat="1" applyFont="1" applyBorder="1" applyAlignment="1">
      <alignment horizontal="center"/>
    </xf>
    <xf numFmtId="14" fontId="4" fillId="0" borderId="10" xfId="0" applyNumberFormat="1" applyFont="1" applyBorder="1" applyAlignment="1">
      <alignment horizontal="center"/>
    </xf>
    <xf numFmtId="14" fontId="4" fillId="0" borderId="25" xfId="0" applyNumberFormat="1"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25" fillId="10" borderId="8" xfId="0" applyFont="1" applyFill="1" applyBorder="1" applyAlignment="1">
      <alignment horizontal="left" vertical="center"/>
    </xf>
    <xf numFmtId="0" fontId="25" fillId="10" borderId="9" xfId="0" applyFont="1" applyFill="1" applyBorder="1" applyAlignment="1">
      <alignment horizontal="left" vertical="center"/>
    </xf>
    <xf numFmtId="0" fontId="25" fillId="10" borderId="10" xfId="0" applyFont="1" applyFill="1" applyBorder="1" applyAlignment="1">
      <alignment horizontal="left" vertical="center"/>
    </xf>
    <xf numFmtId="0" fontId="4" fillId="0" borderId="9" xfId="0" applyFont="1" applyBorder="1" applyAlignment="1">
      <alignment horizontal="center"/>
    </xf>
    <xf numFmtId="0" fontId="4" fillId="0" borderId="10" xfId="0" applyFont="1" applyBorder="1" applyAlignment="1">
      <alignment horizontal="center"/>
    </xf>
    <xf numFmtId="0" fontId="13" fillId="0" borderId="49" xfId="0" applyFont="1" applyBorder="1" applyAlignment="1">
      <alignment horizontal="center" vertical="center" textRotation="90"/>
    </xf>
    <xf numFmtId="0" fontId="13" fillId="0" borderId="34" xfId="0" applyFont="1" applyBorder="1" applyAlignment="1">
      <alignment horizontal="center" vertical="center" textRotation="90"/>
    </xf>
    <xf numFmtId="0" fontId="13" fillId="0" borderId="35" xfId="0" applyFont="1" applyBorder="1" applyAlignment="1">
      <alignment horizontal="center" vertical="center" textRotation="90"/>
    </xf>
    <xf numFmtId="0" fontId="13" fillId="0" borderId="30" xfId="0" applyFont="1" applyBorder="1" applyAlignment="1">
      <alignment horizontal="center" vertical="center" textRotation="90"/>
    </xf>
    <xf numFmtId="0" fontId="13" fillId="0" borderId="31" xfId="0" applyFont="1" applyBorder="1" applyAlignment="1">
      <alignment horizontal="center" vertical="center" textRotation="90"/>
    </xf>
    <xf numFmtId="0" fontId="13" fillId="0" borderId="29" xfId="0" applyFont="1" applyBorder="1" applyAlignment="1">
      <alignment horizontal="center" vertical="center" textRotation="90"/>
    </xf>
    <xf numFmtId="0" fontId="18" fillId="2" borderId="0" xfId="0" applyFont="1" applyFill="1" applyAlignment="1">
      <alignment horizontal="center" vertical="center" wrapText="1"/>
    </xf>
    <xf numFmtId="0" fontId="17" fillId="11" borderId="8" xfId="0" applyFont="1" applyFill="1" applyBorder="1" applyAlignment="1">
      <alignment horizontal="center" vertical="center" wrapText="1"/>
    </xf>
    <xf numFmtId="0" fontId="17" fillId="11" borderId="9"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2" fillId="12" borderId="33" xfId="0" applyFont="1" applyFill="1" applyBorder="1" applyAlignment="1">
      <alignment horizontal="center" vertical="center" wrapText="1"/>
    </xf>
    <xf numFmtId="0" fontId="2" fillId="12" borderId="48" xfId="0" applyFont="1" applyFill="1" applyBorder="1" applyAlignment="1">
      <alignment horizontal="center" vertical="center" wrapText="1"/>
    </xf>
    <xf numFmtId="0" fontId="2" fillId="12" borderId="8" xfId="0" applyFont="1" applyFill="1" applyBorder="1" applyAlignment="1">
      <alignment horizontal="center" vertical="center"/>
    </xf>
    <xf numFmtId="0" fontId="2" fillId="12" borderId="9" xfId="0" applyFont="1" applyFill="1" applyBorder="1" applyAlignment="1">
      <alignment horizontal="center" vertical="center"/>
    </xf>
    <xf numFmtId="0" fontId="2" fillId="12" borderId="10" xfId="0" applyFont="1" applyFill="1" applyBorder="1" applyAlignment="1">
      <alignment horizontal="center" vertical="center"/>
    </xf>
    <xf numFmtId="0" fontId="2" fillId="12" borderId="45" xfId="0" applyFont="1" applyFill="1" applyBorder="1" applyAlignment="1">
      <alignment horizontal="center" vertical="center"/>
    </xf>
    <xf numFmtId="0" fontId="2" fillId="12" borderId="51" xfId="0" applyFont="1" applyFill="1" applyBorder="1" applyAlignment="1">
      <alignment horizontal="center" vertical="center"/>
    </xf>
    <xf numFmtId="0" fontId="18" fillId="2" borderId="4"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8" xfId="0" applyFont="1" applyFill="1" applyBorder="1" applyAlignment="1">
      <alignment horizontal="center" vertical="center" wrapText="1"/>
    </xf>
    <xf numFmtId="0" fontId="2" fillId="12" borderId="57" xfId="0" applyFont="1" applyFill="1" applyBorder="1" applyAlignment="1">
      <alignment horizontal="center" vertical="center" wrapText="1"/>
    </xf>
    <xf numFmtId="0" fontId="2" fillId="12" borderId="39" xfId="0" applyFont="1" applyFill="1" applyBorder="1" applyAlignment="1">
      <alignment horizontal="center" vertical="center" wrapText="1"/>
    </xf>
    <xf numFmtId="0" fontId="22" fillId="0" borderId="8"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14" fontId="4" fillId="0" borderId="66" xfId="0" applyNumberFormat="1" applyFont="1" applyBorder="1" applyAlignment="1">
      <alignment horizontal="center"/>
    </xf>
    <xf numFmtId="14" fontId="4" fillId="0" borderId="0" xfId="0" applyNumberFormat="1" applyFont="1" applyAlignment="1">
      <alignment horizontal="center"/>
    </xf>
    <xf numFmtId="14" fontId="4" fillId="0" borderId="67" xfId="0" applyNumberFormat="1" applyFont="1" applyBorder="1" applyAlignment="1">
      <alignment horizontal="center"/>
    </xf>
    <xf numFmtId="14" fontId="4" fillId="0" borderId="32" xfId="0" applyNumberFormat="1" applyFont="1" applyBorder="1" applyAlignment="1">
      <alignment horizontal="center"/>
    </xf>
    <xf numFmtId="14" fontId="4" fillId="0" borderId="55" xfId="0" applyNumberFormat="1" applyFont="1" applyBorder="1" applyAlignment="1">
      <alignment horizontal="center"/>
    </xf>
    <xf numFmtId="14" fontId="4" fillId="0" borderId="33" xfId="0" applyNumberFormat="1" applyFont="1" applyBorder="1" applyAlignment="1">
      <alignment horizontal="center"/>
    </xf>
    <xf numFmtId="0" fontId="18" fillId="2" borderId="0" xfId="0" applyFont="1" applyFill="1" applyAlignment="1">
      <alignment horizontal="left" vertical="center" wrapText="1"/>
    </xf>
    <xf numFmtId="0" fontId="2" fillId="12" borderId="69"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2" fillId="12" borderId="70" xfId="0" applyFont="1" applyFill="1" applyBorder="1" applyAlignment="1">
      <alignment horizontal="center" vertical="center" wrapText="1"/>
    </xf>
    <xf numFmtId="0" fontId="2" fillId="12" borderId="61" xfId="0" applyFont="1" applyFill="1" applyBorder="1" applyAlignment="1">
      <alignment horizontal="center" vertical="center" wrapText="1"/>
    </xf>
    <xf numFmtId="0" fontId="2" fillId="12" borderId="63" xfId="0" applyFont="1" applyFill="1" applyBorder="1" applyAlignment="1">
      <alignment horizontal="center" vertical="center" wrapText="1"/>
    </xf>
    <xf numFmtId="0" fontId="2" fillId="12" borderId="64" xfId="0" applyFont="1" applyFill="1" applyBorder="1" applyAlignment="1">
      <alignment horizontal="center" vertical="center" wrapText="1"/>
    </xf>
    <xf numFmtId="0" fontId="2" fillId="12" borderId="56" xfId="0" applyFont="1" applyFill="1" applyBorder="1" applyAlignment="1">
      <alignment horizontal="center" vertical="center" wrapText="1"/>
    </xf>
    <xf numFmtId="0" fontId="2" fillId="12" borderId="59" xfId="0" applyFont="1" applyFill="1" applyBorder="1" applyAlignment="1">
      <alignment horizontal="center" vertical="center" wrapText="1"/>
    </xf>
    <xf numFmtId="0" fontId="2" fillId="12" borderId="58" xfId="0" applyFont="1" applyFill="1" applyBorder="1" applyAlignment="1">
      <alignment horizontal="center" vertical="center" wrapText="1"/>
    </xf>
    <xf numFmtId="0" fontId="2" fillId="12" borderId="40" xfId="0" applyFont="1" applyFill="1" applyBorder="1" applyAlignment="1">
      <alignment horizontal="center" vertical="center" wrapText="1"/>
    </xf>
    <xf numFmtId="0" fontId="28" fillId="11" borderId="52" xfId="0" applyFont="1" applyFill="1" applyBorder="1" applyAlignment="1">
      <alignment horizontal="left" vertical="center" wrapText="1"/>
    </xf>
    <xf numFmtId="0" fontId="28" fillId="11" borderId="53" xfId="0" applyFont="1" applyFill="1" applyBorder="1" applyAlignment="1">
      <alignment horizontal="left" vertical="center" wrapText="1"/>
    </xf>
    <xf numFmtId="0" fontId="28" fillId="11" borderId="47" xfId="0" applyFont="1" applyFill="1" applyBorder="1" applyAlignment="1">
      <alignment horizontal="left" vertical="center" wrapText="1"/>
    </xf>
    <xf numFmtId="0" fontId="2" fillId="12" borderId="54" xfId="0" applyFont="1" applyFill="1" applyBorder="1" applyAlignment="1">
      <alignment horizontal="center" vertical="center" wrapText="1"/>
    </xf>
    <xf numFmtId="0" fontId="2" fillId="12" borderId="11" xfId="0" applyFont="1" applyFill="1" applyBorder="1" applyAlignment="1">
      <alignment horizontal="center" vertical="center" wrapText="1"/>
    </xf>
    <xf numFmtId="0" fontId="2" fillId="12" borderId="60" xfId="0" applyFont="1" applyFill="1" applyBorder="1" applyAlignment="1">
      <alignment horizontal="center" vertical="center" wrapText="1"/>
    </xf>
    <xf numFmtId="0" fontId="2" fillId="12" borderId="24" xfId="0" applyFont="1" applyFill="1" applyBorder="1" applyAlignment="1">
      <alignment horizontal="center" vertical="center" wrapText="1"/>
    </xf>
    <xf numFmtId="0" fontId="14" fillId="5" borderId="12"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0" fontId="14" fillId="5" borderId="13" xfId="0" applyFont="1" applyFill="1" applyBorder="1" applyAlignment="1">
      <alignment horizontal="center" vertical="center"/>
    </xf>
    <xf numFmtId="0" fontId="14" fillId="5" borderId="17"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55" xfId="0" applyFont="1" applyFill="1" applyBorder="1" applyAlignment="1">
      <alignment horizontal="center" vertical="center"/>
    </xf>
    <xf numFmtId="0" fontId="21" fillId="5" borderId="33" xfId="0" applyFont="1" applyFill="1" applyBorder="1" applyAlignment="1">
      <alignment horizontal="center" vertical="center"/>
    </xf>
    <xf numFmtId="0" fontId="21" fillId="5" borderId="62" xfId="0" applyFont="1" applyFill="1" applyBorder="1" applyAlignment="1">
      <alignment horizontal="center" vertical="center"/>
    </xf>
    <xf numFmtId="0" fontId="21" fillId="5" borderId="41" xfId="0" applyFont="1" applyFill="1" applyBorder="1" applyAlignment="1">
      <alignment horizontal="center" vertical="center"/>
    </xf>
    <xf numFmtId="0" fontId="21" fillId="5" borderId="48" xfId="0" applyFont="1" applyFill="1" applyBorder="1" applyAlignment="1">
      <alignment horizontal="center" vertical="center"/>
    </xf>
    <xf numFmtId="0" fontId="0" fillId="0" borderId="42" xfId="0" applyBorder="1" applyAlignment="1">
      <alignment horizontal="center"/>
    </xf>
    <xf numFmtId="0" fontId="21" fillId="9" borderId="32" xfId="0" applyFont="1" applyFill="1" applyBorder="1" applyAlignment="1">
      <alignment horizontal="center" vertical="center"/>
    </xf>
    <xf numFmtId="0" fontId="21" fillId="9" borderId="55" xfId="0" applyFont="1" applyFill="1" applyBorder="1" applyAlignment="1">
      <alignment horizontal="center" vertical="center"/>
    </xf>
    <xf numFmtId="0" fontId="21" fillId="9" borderId="33" xfId="0" applyFont="1" applyFill="1" applyBorder="1" applyAlignment="1">
      <alignment horizontal="center" vertical="center"/>
    </xf>
    <xf numFmtId="0" fontId="21" fillId="9" borderId="62" xfId="0" applyFont="1" applyFill="1" applyBorder="1" applyAlignment="1">
      <alignment horizontal="center" vertical="center"/>
    </xf>
    <xf numFmtId="0" fontId="21" fillId="9" borderId="41" xfId="0" applyFont="1" applyFill="1" applyBorder="1" applyAlignment="1">
      <alignment horizontal="center" vertical="center"/>
    </xf>
    <xf numFmtId="0" fontId="21" fillId="9" borderId="48" xfId="0" applyFont="1" applyFill="1" applyBorder="1" applyAlignment="1">
      <alignment horizontal="center" vertical="center"/>
    </xf>
    <xf numFmtId="0" fontId="21" fillId="15" borderId="32" xfId="0" applyFont="1" applyFill="1" applyBorder="1" applyAlignment="1">
      <alignment horizontal="center" vertical="center"/>
    </xf>
    <xf numFmtId="0" fontId="21" fillId="15" borderId="55" xfId="0" applyFont="1" applyFill="1" applyBorder="1" applyAlignment="1">
      <alignment horizontal="center" vertical="center"/>
    </xf>
    <xf numFmtId="0" fontId="21" fillId="15" borderId="33" xfId="0" applyFont="1" applyFill="1" applyBorder="1" applyAlignment="1">
      <alignment horizontal="center" vertical="center"/>
    </xf>
    <xf numFmtId="0" fontId="21" fillId="15" borderId="62" xfId="0" applyFont="1" applyFill="1" applyBorder="1" applyAlignment="1">
      <alignment horizontal="center" vertical="center"/>
    </xf>
    <xf numFmtId="0" fontId="21" fillId="15" borderId="41" xfId="0" applyFont="1" applyFill="1" applyBorder="1" applyAlignment="1">
      <alignment horizontal="center" vertical="center"/>
    </xf>
    <xf numFmtId="0" fontId="21" fillId="15" borderId="48" xfId="0" applyFont="1" applyFill="1" applyBorder="1" applyAlignment="1">
      <alignment horizontal="center" vertical="center"/>
    </xf>
    <xf numFmtId="0" fontId="10" fillId="5" borderId="25" xfId="0" applyFont="1" applyFill="1" applyBorder="1" applyAlignment="1">
      <alignment horizontal="center"/>
    </xf>
    <xf numFmtId="0" fontId="10" fillId="5" borderId="26" xfId="0" applyFont="1" applyFill="1" applyBorder="1" applyAlignment="1">
      <alignment horizontal="center"/>
    </xf>
    <xf numFmtId="0" fontId="10" fillId="5" borderId="27" xfId="0" applyFont="1" applyFill="1" applyBorder="1" applyAlignment="1">
      <alignment horizontal="center"/>
    </xf>
    <xf numFmtId="0" fontId="10" fillId="9" borderId="25" xfId="0" applyFont="1" applyFill="1" applyBorder="1" applyAlignment="1">
      <alignment horizontal="center"/>
    </xf>
    <xf numFmtId="0" fontId="10" fillId="9" borderId="26" xfId="0" applyFont="1" applyFill="1" applyBorder="1" applyAlignment="1">
      <alignment horizontal="center"/>
    </xf>
    <xf numFmtId="0" fontId="10" fillId="9" borderId="27" xfId="0" applyFont="1" applyFill="1" applyBorder="1" applyAlignment="1">
      <alignment horizontal="center"/>
    </xf>
    <xf numFmtId="0" fontId="10" fillId="15" borderId="25" xfId="0" applyFont="1" applyFill="1" applyBorder="1" applyAlignment="1">
      <alignment horizontal="center"/>
    </xf>
    <xf numFmtId="0" fontId="10" fillId="15" borderId="26" xfId="0" applyFont="1" applyFill="1" applyBorder="1" applyAlignment="1">
      <alignment horizontal="center"/>
    </xf>
    <xf numFmtId="0" fontId="10" fillId="15" borderId="27" xfId="0" applyFont="1" applyFill="1" applyBorder="1" applyAlignment="1">
      <alignment horizontal="center"/>
    </xf>
  </cellXfs>
  <cellStyles count="5">
    <cellStyle name="Comma" xfId="2" builtinId="3"/>
    <cellStyle name="Normal" xfId="0" builtinId="0"/>
    <cellStyle name="Normal 2" xfId="3" xr:uid="{28AB5D35-85A6-45AE-B2C9-04A18A69133C}"/>
    <cellStyle name="Percent" xfId="1" builtinId="5"/>
    <cellStyle name="Percent 2" xfId="4" xr:uid="{6C182B1E-6EA5-4426-8CC3-065E5673E8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Times New Roman" panose="02020603050405020304" pitchFamily="18" charset="0"/>
                <a:cs typeface="Times New Roman" panose="02020603050405020304" pitchFamily="18" charset="0"/>
              </a:rPr>
              <a:t>PSU BANKING</a:t>
            </a:r>
            <a:r>
              <a:rPr lang="en-US" sz="1800" baseline="0">
                <a:latin typeface="Times New Roman" panose="02020603050405020304" pitchFamily="18" charset="0"/>
                <a:cs typeface="Times New Roman" panose="02020603050405020304" pitchFamily="18" charset="0"/>
              </a:rPr>
              <a:t> SECTOR (MAY - JUNE 2026)</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WORKING!$C$2</c:f>
              <c:strCache>
                <c:ptCount val="1"/>
                <c:pt idx="0">
                  <c:v>INDEX</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WORKING!$B$3:$B$45</c:f>
              <c:numCache>
                <c:formatCode>[$-F800]dddd\,\ mmmm\ dd\,\ yyyy</c:formatCode>
                <c:ptCount val="43"/>
                <c:pt idx="0">
                  <c:v>46153</c:v>
                </c:pt>
                <c:pt idx="1">
                  <c:v>46154</c:v>
                </c:pt>
                <c:pt idx="2">
                  <c:v>46155</c:v>
                </c:pt>
                <c:pt idx="3">
                  <c:v>46156</c:v>
                </c:pt>
                <c:pt idx="4">
                  <c:v>46157</c:v>
                </c:pt>
                <c:pt idx="5">
                  <c:v>46160</c:v>
                </c:pt>
                <c:pt idx="6">
                  <c:v>46161</c:v>
                </c:pt>
                <c:pt idx="7">
                  <c:v>46162</c:v>
                </c:pt>
                <c:pt idx="8">
                  <c:v>46163</c:v>
                </c:pt>
                <c:pt idx="9">
                  <c:v>46164</c:v>
                </c:pt>
                <c:pt idx="10">
                  <c:v>46167</c:v>
                </c:pt>
                <c:pt idx="11">
                  <c:v>46168</c:v>
                </c:pt>
                <c:pt idx="12">
                  <c:v>46169</c:v>
                </c:pt>
                <c:pt idx="13">
                  <c:v>46171</c:v>
                </c:pt>
                <c:pt idx="14">
                  <c:v>46174</c:v>
                </c:pt>
                <c:pt idx="15">
                  <c:v>46175</c:v>
                </c:pt>
                <c:pt idx="16">
                  <c:v>46176</c:v>
                </c:pt>
                <c:pt idx="17">
                  <c:v>46177</c:v>
                </c:pt>
                <c:pt idx="18">
                  <c:v>46178</c:v>
                </c:pt>
                <c:pt idx="19">
                  <c:v>46181</c:v>
                </c:pt>
                <c:pt idx="20">
                  <c:v>46182</c:v>
                </c:pt>
                <c:pt idx="21">
                  <c:v>46183</c:v>
                </c:pt>
                <c:pt idx="22">
                  <c:v>46184</c:v>
                </c:pt>
                <c:pt idx="23">
                  <c:v>46185</c:v>
                </c:pt>
                <c:pt idx="24">
                  <c:v>46188</c:v>
                </c:pt>
                <c:pt idx="25">
                  <c:v>46189</c:v>
                </c:pt>
                <c:pt idx="26">
                  <c:v>46190</c:v>
                </c:pt>
                <c:pt idx="27">
                  <c:v>46191</c:v>
                </c:pt>
                <c:pt idx="28">
                  <c:v>46192</c:v>
                </c:pt>
                <c:pt idx="29">
                  <c:v>46195</c:v>
                </c:pt>
                <c:pt idx="30">
                  <c:v>46196</c:v>
                </c:pt>
                <c:pt idx="31">
                  <c:v>46197</c:v>
                </c:pt>
                <c:pt idx="32">
                  <c:v>46198</c:v>
                </c:pt>
                <c:pt idx="33">
                  <c:v>46202</c:v>
                </c:pt>
                <c:pt idx="34">
                  <c:v>46203</c:v>
                </c:pt>
                <c:pt idx="35">
                  <c:v>46204</c:v>
                </c:pt>
                <c:pt idx="36">
                  <c:v>46205</c:v>
                </c:pt>
                <c:pt idx="37">
                  <c:v>46206</c:v>
                </c:pt>
                <c:pt idx="38">
                  <c:v>46209</c:v>
                </c:pt>
                <c:pt idx="39">
                  <c:v>46210</c:v>
                </c:pt>
                <c:pt idx="40">
                  <c:v>46211</c:v>
                </c:pt>
                <c:pt idx="41">
                  <c:v>46212</c:v>
                </c:pt>
                <c:pt idx="42">
                  <c:v>46213</c:v>
                </c:pt>
              </c:numCache>
            </c:numRef>
          </c:xVal>
          <c:yVal>
            <c:numRef>
              <c:f>WORKING!$C$3:$C$45</c:f>
              <c:numCache>
                <c:formatCode>General</c:formatCode>
                <c:ptCount val="43"/>
                <c:pt idx="0">
                  <c:v>948.28</c:v>
                </c:pt>
                <c:pt idx="1">
                  <c:v>991.25</c:v>
                </c:pt>
                <c:pt idx="2">
                  <c:v>998.45</c:v>
                </c:pt>
                <c:pt idx="3">
                  <c:v>1011.54</c:v>
                </c:pt>
                <c:pt idx="4">
                  <c:v>983.15</c:v>
                </c:pt>
                <c:pt idx="5">
                  <c:v>979.49</c:v>
                </c:pt>
                <c:pt idx="6">
                  <c:v>1010.54</c:v>
                </c:pt>
                <c:pt idx="7">
                  <c:v>1000.72</c:v>
                </c:pt>
                <c:pt idx="8">
                  <c:v>1002.25</c:v>
                </c:pt>
                <c:pt idx="9">
                  <c:v>999.5</c:v>
                </c:pt>
                <c:pt idx="10">
                  <c:v>1025.75</c:v>
                </c:pt>
                <c:pt idx="11">
                  <c:v>996.8</c:v>
                </c:pt>
                <c:pt idx="12">
                  <c:v>1001.71</c:v>
                </c:pt>
                <c:pt idx="13">
                  <c:v>992.02</c:v>
                </c:pt>
                <c:pt idx="14">
                  <c:v>983.87</c:v>
                </c:pt>
                <c:pt idx="15">
                  <c:v>1012.53</c:v>
                </c:pt>
                <c:pt idx="16">
                  <c:v>998.76</c:v>
                </c:pt>
                <c:pt idx="17">
                  <c:v>1015.13</c:v>
                </c:pt>
                <c:pt idx="18">
                  <c:v>1001.7</c:v>
                </c:pt>
                <c:pt idx="19">
                  <c:v>996.02</c:v>
                </c:pt>
                <c:pt idx="20">
                  <c:v>1031.04</c:v>
                </c:pt>
                <c:pt idx="21">
                  <c:v>989.65</c:v>
                </c:pt>
                <c:pt idx="22">
                  <c:v>992.31</c:v>
                </c:pt>
                <c:pt idx="23">
                  <c:v>1009</c:v>
                </c:pt>
                <c:pt idx="24">
                  <c:v>1005.89</c:v>
                </c:pt>
                <c:pt idx="25">
                  <c:v>997.15</c:v>
                </c:pt>
                <c:pt idx="26">
                  <c:v>1017.69</c:v>
                </c:pt>
                <c:pt idx="27">
                  <c:v>1008.36</c:v>
                </c:pt>
                <c:pt idx="28">
                  <c:v>1000.69</c:v>
                </c:pt>
                <c:pt idx="29">
                  <c:v>1004.92</c:v>
                </c:pt>
                <c:pt idx="30">
                  <c:v>982.18399999999997</c:v>
                </c:pt>
                <c:pt idx="31">
                  <c:v>1005.86</c:v>
                </c:pt>
                <c:pt idx="32">
                  <c:v>1003.11</c:v>
                </c:pt>
                <c:pt idx="33">
                  <c:v>993.75</c:v>
                </c:pt>
                <c:pt idx="34">
                  <c:v>990.4</c:v>
                </c:pt>
                <c:pt idx="35">
                  <c:v>1007.44</c:v>
                </c:pt>
                <c:pt idx="36">
                  <c:v>1001.87</c:v>
                </c:pt>
                <c:pt idx="37">
                  <c:v>1005.94</c:v>
                </c:pt>
                <c:pt idx="38">
                  <c:v>994.38</c:v>
                </c:pt>
                <c:pt idx="39">
                  <c:v>997.22</c:v>
                </c:pt>
                <c:pt idx="40">
                  <c:v>975.23</c:v>
                </c:pt>
                <c:pt idx="41">
                  <c:v>1013.62</c:v>
                </c:pt>
                <c:pt idx="42">
                  <c:v>1019.05</c:v>
                </c:pt>
              </c:numCache>
            </c:numRef>
          </c:yVal>
          <c:smooth val="0"/>
          <c:extLst>
            <c:ext xmlns:c16="http://schemas.microsoft.com/office/drawing/2014/chart" uri="{C3380CC4-5D6E-409C-BE32-E72D297353CC}">
              <c16:uniqueId val="{00000000-A082-4E3A-820C-D90EB541C838}"/>
            </c:ext>
          </c:extLst>
        </c:ser>
        <c:dLbls>
          <c:showLegendKey val="0"/>
          <c:showVal val="0"/>
          <c:showCatName val="0"/>
          <c:showSerName val="0"/>
          <c:showPercent val="0"/>
          <c:showBubbleSize val="0"/>
        </c:dLbls>
        <c:axId val="1530772048"/>
        <c:axId val="1530772528"/>
      </c:scatterChart>
      <c:valAx>
        <c:axId val="15307720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r>
                  <a:rPr lang="en-IN" sz="1400">
                    <a:latin typeface="Times New Roman" panose="02020603050405020304" pitchFamily="18" charset="0"/>
                    <a:cs typeface="Times New Roman" panose="02020603050405020304" pitchFamily="18" charset="0"/>
                  </a:rPr>
                  <a:t>DATES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title>
        <c:numFmt formatCode="[$-F800]dddd\,\ mmmm\ dd\,\ yyyy"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1530772528"/>
        <c:crosses val="autoZero"/>
        <c:crossBetween val="midCat"/>
      </c:valAx>
      <c:valAx>
        <c:axId val="153077252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r>
                  <a:rPr lang="en-IN" sz="1400">
                    <a:latin typeface="Times New Roman" panose="02020603050405020304" pitchFamily="18" charset="0"/>
                    <a:cs typeface="Times New Roman" panose="02020603050405020304" pitchFamily="18" charset="0"/>
                  </a:rPr>
                  <a:t>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153077204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Times New Roman" panose="02020603050405020304" pitchFamily="18" charset="0"/>
                <a:cs typeface="Times New Roman" panose="02020603050405020304" pitchFamily="18" charset="0"/>
              </a:rPr>
              <a:t>PORTFOLIO NAV</a:t>
            </a:r>
            <a:r>
              <a:rPr lang="en-US" sz="1800" baseline="0">
                <a:latin typeface="Times New Roman" panose="02020603050405020304" pitchFamily="18" charset="0"/>
                <a:cs typeface="Times New Roman" panose="02020603050405020304" pitchFamily="18" charset="0"/>
              </a:rPr>
              <a:t> TREND</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WORKING!$AC$2</c:f>
              <c:strCache>
                <c:ptCount val="1"/>
                <c:pt idx="0">
                  <c:v>NAV</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WORKING!$AB$3:$AB$40</c:f>
              <c:numCache>
                <c:formatCode>[$-F800]dddd\,\ mmmm\ dd\,\ yyyy</c:formatCode>
                <c:ptCount val="38"/>
                <c:pt idx="0">
                  <c:v>46160</c:v>
                </c:pt>
                <c:pt idx="1">
                  <c:v>46161</c:v>
                </c:pt>
                <c:pt idx="2">
                  <c:v>46162</c:v>
                </c:pt>
                <c:pt idx="3">
                  <c:v>46163</c:v>
                </c:pt>
                <c:pt idx="4">
                  <c:v>46164</c:v>
                </c:pt>
                <c:pt idx="5">
                  <c:v>46167</c:v>
                </c:pt>
                <c:pt idx="6">
                  <c:v>46168</c:v>
                </c:pt>
                <c:pt idx="7">
                  <c:v>46169</c:v>
                </c:pt>
                <c:pt idx="8">
                  <c:v>46171</c:v>
                </c:pt>
                <c:pt idx="9">
                  <c:v>46174</c:v>
                </c:pt>
                <c:pt idx="10">
                  <c:v>46175</c:v>
                </c:pt>
                <c:pt idx="11">
                  <c:v>46176</c:v>
                </c:pt>
                <c:pt idx="12">
                  <c:v>46177</c:v>
                </c:pt>
                <c:pt idx="13">
                  <c:v>46178</c:v>
                </c:pt>
                <c:pt idx="14">
                  <c:v>46181</c:v>
                </c:pt>
                <c:pt idx="15">
                  <c:v>46182</c:v>
                </c:pt>
                <c:pt idx="16">
                  <c:v>46183</c:v>
                </c:pt>
                <c:pt idx="17">
                  <c:v>46184</c:v>
                </c:pt>
                <c:pt idx="18">
                  <c:v>46185</c:v>
                </c:pt>
                <c:pt idx="19">
                  <c:v>46188</c:v>
                </c:pt>
                <c:pt idx="20">
                  <c:v>46189</c:v>
                </c:pt>
                <c:pt idx="21">
                  <c:v>46190</c:v>
                </c:pt>
                <c:pt idx="22">
                  <c:v>46191</c:v>
                </c:pt>
                <c:pt idx="23">
                  <c:v>46192</c:v>
                </c:pt>
                <c:pt idx="24">
                  <c:v>46195</c:v>
                </c:pt>
                <c:pt idx="25">
                  <c:v>46196</c:v>
                </c:pt>
                <c:pt idx="26">
                  <c:v>46197</c:v>
                </c:pt>
                <c:pt idx="27">
                  <c:v>46198</c:v>
                </c:pt>
                <c:pt idx="28">
                  <c:v>46202</c:v>
                </c:pt>
                <c:pt idx="29">
                  <c:v>46203</c:v>
                </c:pt>
                <c:pt idx="30">
                  <c:v>46204</c:v>
                </c:pt>
                <c:pt idx="31">
                  <c:v>46205</c:v>
                </c:pt>
                <c:pt idx="32">
                  <c:v>46206</c:v>
                </c:pt>
                <c:pt idx="33">
                  <c:v>46209</c:v>
                </c:pt>
                <c:pt idx="34">
                  <c:v>46210</c:v>
                </c:pt>
                <c:pt idx="35">
                  <c:v>46211</c:v>
                </c:pt>
                <c:pt idx="36">
                  <c:v>46212</c:v>
                </c:pt>
                <c:pt idx="37">
                  <c:v>46213</c:v>
                </c:pt>
              </c:numCache>
            </c:numRef>
          </c:xVal>
          <c:yVal>
            <c:numRef>
              <c:f>WORKING!$AC$3:$AC$41</c:f>
              <c:numCache>
                <c:formatCode>General</c:formatCode>
                <c:ptCount val="39"/>
                <c:pt idx="0">
                  <c:v>9.42</c:v>
                </c:pt>
                <c:pt idx="1">
                  <c:v>9.81</c:v>
                </c:pt>
                <c:pt idx="2">
                  <c:v>9.82</c:v>
                </c:pt>
                <c:pt idx="3">
                  <c:v>9.85</c:v>
                </c:pt>
                <c:pt idx="4">
                  <c:v>9.86</c:v>
                </c:pt>
                <c:pt idx="5">
                  <c:v>10.08</c:v>
                </c:pt>
                <c:pt idx="6">
                  <c:v>9.41</c:v>
                </c:pt>
                <c:pt idx="7">
                  <c:v>9.43</c:v>
                </c:pt>
                <c:pt idx="8">
                  <c:v>9.33</c:v>
                </c:pt>
                <c:pt idx="9">
                  <c:v>9.76</c:v>
                </c:pt>
                <c:pt idx="10">
                  <c:v>10.029999999999999</c:v>
                </c:pt>
                <c:pt idx="11">
                  <c:v>9.92</c:v>
                </c:pt>
                <c:pt idx="12">
                  <c:v>9.9700000000000006</c:v>
                </c:pt>
                <c:pt idx="13">
                  <c:v>9.9600000000000009</c:v>
                </c:pt>
                <c:pt idx="14">
                  <c:v>9.8800000000000008</c:v>
                </c:pt>
                <c:pt idx="15">
                  <c:v>10.27</c:v>
                </c:pt>
                <c:pt idx="16">
                  <c:v>10.119999999999999</c:v>
                </c:pt>
                <c:pt idx="17">
                  <c:v>9.9700000000000006</c:v>
                </c:pt>
                <c:pt idx="18">
                  <c:v>10.23</c:v>
                </c:pt>
                <c:pt idx="19">
                  <c:v>9.7200000000000006</c:v>
                </c:pt>
                <c:pt idx="20">
                  <c:v>9.7200000000000006</c:v>
                </c:pt>
                <c:pt idx="21">
                  <c:v>10</c:v>
                </c:pt>
                <c:pt idx="22">
                  <c:v>9.99</c:v>
                </c:pt>
                <c:pt idx="23">
                  <c:v>9.94</c:v>
                </c:pt>
                <c:pt idx="24">
                  <c:v>10.59</c:v>
                </c:pt>
                <c:pt idx="25">
                  <c:v>10.4</c:v>
                </c:pt>
                <c:pt idx="26">
                  <c:v>10.43</c:v>
                </c:pt>
                <c:pt idx="27">
                  <c:v>10.39</c:v>
                </c:pt>
                <c:pt idx="28">
                  <c:v>10.36</c:v>
                </c:pt>
                <c:pt idx="29">
                  <c:v>10.3</c:v>
                </c:pt>
                <c:pt idx="30">
                  <c:v>10.34</c:v>
                </c:pt>
                <c:pt idx="31">
                  <c:v>10.4</c:v>
                </c:pt>
                <c:pt idx="32">
                  <c:v>10.19</c:v>
                </c:pt>
                <c:pt idx="33">
                  <c:v>10.08</c:v>
                </c:pt>
                <c:pt idx="34">
                  <c:v>10</c:v>
                </c:pt>
                <c:pt idx="35">
                  <c:v>9.74</c:v>
                </c:pt>
                <c:pt idx="36">
                  <c:v>9.91</c:v>
                </c:pt>
                <c:pt idx="37">
                  <c:v>10.18</c:v>
                </c:pt>
              </c:numCache>
            </c:numRef>
          </c:yVal>
          <c:smooth val="0"/>
          <c:extLst>
            <c:ext xmlns:c16="http://schemas.microsoft.com/office/drawing/2014/chart" uri="{C3380CC4-5D6E-409C-BE32-E72D297353CC}">
              <c16:uniqueId val="{00000000-23EA-46BB-8B96-B680630C17D3}"/>
            </c:ext>
          </c:extLst>
        </c:ser>
        <c:dLbls>
          <c:showLegendKey val="0"/>
          <c:showVal val="0"/>
          <c:showCatName val="0"/>
          <c:showSerName val="0"/>
          <c:showPercent val="0"/>
          <c:showBubbleSize val="0"/>
        </c:dLbls>
        <c:axId val="1317917888"/>
        <c:axId val="1317919328"/>
      </c:scatterChart>
      <c:valAx>
        <c:axId val="131791788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r>
                  <a:rPr lang="en-IN" sz="1400">
                    <a:latin typeface="Times New Roman" panose="02020603050405020304" pitchFamily="18" charset="0"/>
                    <a:cs typeface="Times New Roman" panose="02020603050405020304" pitchFamily="18" charset="0"/>
                  </a:rPr>
                  <a:t>DATES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title>
        <c:numFmt formatCode="[$-F800]dddd\,\ mmmm\ dd\,\ yyyy"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1317919328"/>
        <c:crosses val="autoZero"/>
        <c:crossBetween val="midCat"/>
      </c:valAx>
      <c:valAx>
        <c:axId val="131791932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400">
                    <a:latin typeface="Times New Roman" panose="02020603050405020304" pitchFamily="18" charset="0"/>
                    <a:cs typeface="Times New Roman" panose="02020603050405020304" pitchFamily="18" charset="0"/>
                  </a:rPr>
                  <a:t>NAV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131791788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xdr:col>
      <xdr:colOff>430344</xdr:colOff>
      <xdr:row>1</xdr:row>
      <xdr:rowOff>36188</xdr:rowOff>
    </xdr:from>
    <xdr:to>
      <xdr:col>21</xdr:col>
      <xdr:colOff>427521</xdr:colOff>
      <xdr:row>24</xdr:row>
      <xdr:rowOff>118432</xdr:rowOff>
    </xdr:to>
    <xdr:graphicFrame macro="">
      <xdr:nvGraphicFramePr>
        <xdr:cNvPr id="3" name="Chart 2">
          <a:extLst>
            <a:ext uri="{FF2B5EF4-FFF2-40B4-BE49-F238E27FC236}">
              <a16:creationId xmlns:a16="http://schemas.microsoft.com/office/drawing/2014/main" id="{FE009562-BF6C-213C-0748-8F24FC945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488062</xdr:colOff>
      <xdr:row>25</xdr:row>
      <xdr:rowOff>74482</xdr:rowOff>
    </xdr:from>
    <xdr:to>
      <xdr:col>26</xdr:col>
      <xdr:colOff>477761</xdr:colOff>
      <xdr:row>48</xdr:row>
      <xdr:rowOff>128006</xdr:rowOff>
    </xdr:to>
    <xdr:graphicFrame macro="">
      <xdr:nvGraphicFramePr>
        <xdr:cNvPr id="5" name="Chart 4">
          <a:extLst>
            <a:ext uri="{FF2B5EF4-FFF2-40B4-BE49-F238E27FC236}">
              <a16:creationId xmlns:a16="http://schemas.microsoft.com/office/drawing/2014/main" id="{FA2F94E9-DF9C-EC0A-FABA-A3C950564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23873</xdr:colOff>
      <xdr:row>50</xdr:row>
      <xdr:rowOff>9977</xdr:rowOff>
    </xdr:from>
    <xdr:to>
      <xdr:col>16</xdr:col>
      <xdr:colOff>564469</xdr:colOff>
      <xdr:row>62</xdr:row>
      <xdr:rowOff>154214</xdr:rowOff>
    </xdr:to>
    <xdr:pic>
      <xdr:nvPicPr>
        <xdr:cNvPr id="3" name="Picture 2">
          <a:extLst>
            <a:ext uri="{FF2B5EF4-FFF2-40B4-BE49-F238E27FC236}">
              <a16:creationId xmlns:a16="http://schemas.microsoft.com/office/drawing/2014/main" id="{C6684867-AAB4-6DD8-777D-11C87EE21E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01730" y="9217477"/>
          <a:ext cx="4187310" cy="23213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27138</xdr:colOff>
      <xdr:row>20</xdr:row>
      <xdr:rowOff>20699</xdr:rowOff>
    </xdr:from>
    <xdr:to>
      <xdr:col>9</xdr:col>
      <xdr:colOff>6318</xdr:colOff>
      <xdr:row>32</xdr:row>
      <xdr:rowOff>154216</xdr:rowOff>
    </xdr:to>
    <xdr:pic>
      <xdr:nvPicPr>
        <xdr:cNvPr id="5" name="Picture 4">
          <a:extLst>
            <a:ext uri="{FF2B5EF4-FFF2-40B4-BE49-F238E27FC236}">
              <a16:creationId xmlns:a16="http://schemas.microsoft.com/office/drawing/2014/main" id="{C9E4F92B-53B4-D9BC-9DB3-C2B31426A169}"/>
            </a:ext>
          </a:extLst>
        </xdr:cNvPr>
        <xdr:cNvPicPr>
          <a:picLocks noChangeAspect="1"/>
        </xdr:cNvPicPr>
      </xdr:nvPicPr>
      <xdr:blipFill>
        <a:blip xmlns:r="http://schemas.openxmlformats.org/officeDocument/2006/relationships" r:embed="rId2"/>
        <a:stretch>
          <a:fillRect/>
        </a:stretch>
      </xdr:blipFill>
      <xdr:spPr>
        <a:xfrm>
          <a:off x="1242709" y="3785342"/>
          <a:ext cx="4233680" cy="2310660"/>
        </a:xfrm>
        <a:prstGeom prst="rect">
          <a:avLst/>
        </a:prstGeom>
        <a:noFill/>
        <a:ln>
          <a:solidFill>
            <a:sysClr val="windowText" lastClr="000000"/>
          </a:solidFill>
        </a:ln>
      </xdr:spPr>
    </xdr:pic>
    <xdr:clientData/>
  </xdr:twoCellAnchor>
  <xdr:twoCellAnchor editAs="oneCell">
    <xdr:from>
      <xdr:col>2</xdr:col>
      <xdr:colOff>18144</xdr:colOff>
      <xdr:row>35</xdr:row>
      <xdr:rowOff>28582</xdr:rowOff>
    </xdr:from>
    <xdr:to>
      <xdr:col>8</xdr:col>
      <xdr:colOff>525049</xdr:colOff>
      <xdr:row>47</xdr:row>
      <xdr:rowOff>142848</xdr:rowOff>
    </xdr:to>
    <xdr:pic>
      <xdr:nvPicPr>
        <xdr:cNvPr id="6" name="Picture 5">
          <a:extLst>
            <a:ext uri="{FF2B5EF4-FFF2-40B4-BE49-F238E27FC236}">
              <a16:creationId xmlns:a16="http://schemas.microsoft.com/office/drawing/2014/main" id="{D1625BE0-351A-4BCB-735C-2F44F368FD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3715" y="6514653"/>
          <a:ext cx="4153620" cy="229140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67475</xdr:colOff>
      <xdr:row>50</xdr:row>
      <xdr:rowOff>45357</xdr:rowOff>
    </xdr:from>
    <xdr:to>
      <xdr:col>24</xdr:col>
      <xdr:colOff>589643</xdr:colOff>
      <xdr:row>62</xdr:row>
      <xdr:rowOff>154214</xdr:rowOff>
    </xdr:to>
    <xdr:pic>
      <xdr:nvPicPr>
        <xdr:cNvPr id="7" name="Picture 6">
          <a:extLst>
            <a:ext uri="{FF2B5EF4-FFF2-40B4-BE49-F238E27FC236}">
              <a16:creationId xmlns:a16="http://schemas.microsoft.com/office/drawing/2014/main" id="{4708BCA1-2115-4CB5-A562-DFA6EF9062F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007618" y="9252857"/>
          <a:ext cx="4168882" cy="22860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34649</xdr:colOff>
      <xdr:row>20</xdr:row>
      <xdr:rowOff>48416</xdr:rowOff>
    </xdr:from>
    <xdr:to>
      <xdr:col>24</xdr:col>
      <xdr:colOff>580572</xdr:colOff>
      <xdr:row>32</xdr:row>
      <xdr:rowOff>136072</xdr:rowOff>
    </xdr:to>
    <xdr:pic>
      <xdr:nvPicPr>
        <xdr:cNvPr id="8" name="Picture 7">
          <a:extLst>
            <a:ext uri="{FF2B5EF4-FFF2-40B4-BE49-F238E27FC236}">
              <a16:creationId xmlns:a16="http://schemas.microsoft.com/office/drawing/2014/main" id="{6033DB5D-9FD6-3FA4-498C-678E5AE03006}"/>
            </a:ext>
          </a:extLst>
        </xdr:cNvPr>
        <xdr:cNvPicPr>
          <a:picLocks noChangeAspect="1"/>
        </xdr:cNvPicPr>
      </xdr:nvPicPr>
      <xdr:blipFill>
        <a:blip xmlns:r="http://schemas.openxmlformats.org/officeDocument/2006/relationships" r:embed="rId5"/>
        <a:stretch>
          <a:fillRect/>
        </a:stretch>
      </xdr:blipFill>
      <xdr:spPr>
        <a:xfrm>
          <a:off x="10974792" y="3803987"/>
          <a:ext cx="4192637" cy="2264799"/>
        </a:xfrm>
        <a:prstGeom prst="rect">
          <a:avLst/>
        </a:prstGeom>
        <a:noFill/>
        <a:ln>
          <a:solidFill>
            <a:sysClr val="windowText" lastClr="000000"/>
          </a:solidFill>
        </a:ln>
      </xdr:spPr>
    </xdr:pic>
    <xdr:clientData/>
  </xdr:twoCellAnchor>
  <xdr:twoCellAnchor editAs="oneCell">
    <xdr:from>
      <xdr:col>2</xdr:col>
      <xdr:colOff>11339</xdr:colOff>
      <xdr:row>5</xdr:row>
      <xdr:rowOff>11339</xdr:rowOff>
    </xdr:from>
    <xdr:to>
      <xdr:col>8</xdr:col>
      <xdr:colOff>578304</xdr:colOff>
      <xdr:row>17</xdr:row>
      <xdr:rowOff>148546</xdr:rowOff>
    </xdr:to>
    <xdr:pic>
      <xdr:nvPicPr>
        <xdr:cNvPr id="4" name="Picture 3">
          <a:extLst>
            <a:ext uri="{FF2B5EF4-FFF2-40B4-BE49-F238E27FC236}">
              <a16:creationId xmlns:a16="http://schemas.microsoft.com/office/drawing/2014/main" id="{E156B1B7-D94B-743F-57BA-A6B38B99F268}"/>
            </a:ext>
          </a:extLst>
        </xdr:cNvPr>
        <xdr:cNvPicPr>
          <a:picLocks noChangeAspect="1"/>
        </xdr:cNvPicPr>
      </xdr:nvPicPr>
      <xdr:blipFill>
        <a:blip xmlns:r="http://schemas.openxmlformats.org/officeDocument/2006/relationships" r:embed="rId6"/>
        <a:stretch>
          <a:fillRect/>
        </a:stretch>
      </xdr:blipFill>
      <xdr:spPr>
        <a:xfrm>
          <a:off x="1235982" y="1054553"/>
          <a:ext cx="4240893" cy="2314350"/>
        </a:xfrm>
        <a:prstGeom prst="rect">
          <a:avLst/>
        </a:prstGeom>
        <a:noFill/>
        <a:ln>
          <a:solidFill>
            <a:sysClr val="windowText" lastClr="000000"/>
          </a:solidFill>
        </a:ln>
      </xdr:spPr>
    </xdr:pic>
    <xdr:clientData/>
  </xdr:twoCellAnchor>
  <xdr:twoCellAnchor editAs="oneCell">
    <xdr:from>
      <xdr:col>10</xdr:col>
      <xdr:colOff>26096</xdr:colOff>
      <xdr:row>5</xdr:row>
      <xdr:rowOff>52194</xdr:rowOff>
    </xdr:from>
    <xdr:to>
      <xdr:col>16</xdr:col>
      <xdr:colOff>600205</xdr:colOff>
      <xdr:row>17</xdr:row>
      <xdr:rowOff>121782</xdr:rowOff>
    </xdr:to>
    <xdr:pic>
      <xdr:nvPicPr>
        <xdr:cNvPr id="9" name="Picture 8">
          <a:extLst>
            <a:ext uri="{FF2B5EF4-FFF2-40B4-BE49-F238E27FC236}">
              <a16:creationId xmlns:a16="http://schemas.microsoft.com/office/drawing/2014/main" id="{EFD451C7-AC9A-CE3A-E866-29BA29E29C47}"/>
            </a:ext>
          </a:extLst>
        </xdr:cNvPr>
        <xdr:cNvPicPr>
          <a:picLocks noChangeAspect="1"/>
        </xdr:cNvPicPr>
      </xdr:nvPicPr>
      <xdr:blipFill>
        <a:blip xmlns:r="http://schemas.openxmlformats.org/officeDocument/2006/relationships" r:embed="rId7"/>
        <a:stretch>
          <a:fillRect/>
        </a:stretch>
      </xdr:blipFill>
      <xdr:spPr>
        <a:xfrm>
          <a:off x="6115137" y="1096030"/>
          <a:ext cx="4227534" cy="2261642"/>
        </a:xfrm>
        <a:prstGeom prst="rect">
          <a:avLst/>
        </a:prstGeom>
        <a:noFill/>
        <a:ln>
          <a:solidFill>
            <a:sysClr val="windowText" lastClr="000000"/>
          </a:solidFill>
        </a:ln>
      </xdr:spPr>
    </xdr:pic>
    <xdr:clientData/>
  </xdr:twoCellAnchor>
  <xdr:twoCellAnchor editAs="oneCell">
    <xdr:from>
      <xdr:col>18</xdr:col>
      <xdr:colOff>31129</xdr:colOff>
      <xdr:row>5</xdr:row>
      <xdr:rowOff>37352</xdr:rowOff>
    </xdr:from>
    <xdr:to>
      <xdr:col>24</xdr:col>
      <xdr:colOff>591423</xdr:colOff>
      <xdr:row>17</xdr:row>
      <xdr:rowOff>143186</xdr:rowOff>
    </xdr:to>
    <xdr:pic>
      <xdr:nvPicPr>
        <xdr:cNvPr id="10" name="Picture 9">
          <a:extLst>
            <a:ext uri="{FF2B5EF4-FFF2-40B4-BE49-F238E27FC236}">
              <a16:creationId xmlns:a16="http://schemas.microsoft.com/office/drawing/2014/main" id="{2005A2B9-74D8-04F3-E92D-6E9CC9789AF4}"/>
            </a:ext>
          </a:extLst>
        </xdr:cNvPr>
        <xdr:cNvPicPr>
          <a:picLocks noChangeAspect="1"/>
        </xdr:cNvPicPr>
      </xdr:nvPicPr>
      <xdr:blipFill>
        <a:blip xmlns:r="http://schemas.openxmlformats.org/officeDocument/2006/relationships" r:embed="rId8"/>
        <a:stretch>
          <a:fillRect/>
        </a:stretch>
      </xdr:blipFill>
      <xdr:spPr>
        <a:xfrm>
          <a:off x="11012894" y="1089460"/>
          <a:ext cx="4220882" cy="2347010"/>
        </a:xfrm>
        <a:prstGeom prst="rect">
          <a:avLst/>
        </a:prstGeom>
        <a:noFill/>
        <a:ln>
          <a:solidFill>
            <a:sysClr val="windowText" lastClr="000000"/>
          </a:solidFill>
        </a:ln>
      </xdr:spPr>
    </xdr:pic>
    <xdr:clientData/>
  </xdr:twoCellAnchor>
  <xdr:twoCellAnchor editAs="oneCell">
    <xdr:from>
      <xdr:col>10</xdr:col>
      <xdr:colOff>52294</xdr:colOff>
      <xdr:row>20</xdr:row>
      <xdr:rowOff>14941</xdr:rowOff>
    </xdr:from>
    <xdr:to>
      <xdr:col>16</xdr:col>
      <xdr:colOff>590176</xdr:colOff>
      <xdr:row>32</xdr:row>
      <xdr:rowOff>156882</xdr:rowOff>
    </xdr:to>
    <xdr:pic>
      <xdr:nvPicPr>
        <xdr:cNvPr id="11" name="Picture 10">
          <a:extLst>
            <a:ext uri="{FF2B5EF4-FFF2-40B4-BE49-F238E27FC236}">
              <a16:creationId xmlns:a16="http://schemas.microsoft.com/office/drawing/2014/main" id="{A0BF2D8F-61D7-AE77-8F9C-13DABE4B711E}"/>
            </a:ext>
          </a:extLst>
        </xdr:cNvPr>
        <xdr:cNvPicPr>
          <a:picLocks noChangeAspect="1"/>
        </xdr:cNvPicPr>
      </xdr:nvPicPr>
      <xdr:blipFill>
        <a:blip xmlns:r="http://schemas.openxmlformats.org/officeDocument/2006/relationships" r:embed="rId9"/>
        <a:stretch>
          <a:fillRect/>
        </a:stretch>
      </xdr:blipFill>
      <xdr:spPr>
        <a:xfrm>
          <a:off x="6178176" y="3869765"/>
          <a:ext cx="4213412" cy="2383117"/>
        </a:xfrm>
        <a:prstGeom prst="rect">
          <a:avLst/>
        </a:prstGeom>
        <a:noFill/>
        <a:ln>
          <a:solidFill>
            <a:sysClr val="windowText" lastClr="000000"/>
          </a:solidFill>
        </a:ln>
      </xdr:spPr>
    </xdr:pic>
    <xdr:clientData/>
  </xdr:twoCellAnchor>
  <xdr:twoCellAnchor editAs="oneCell">
    <xdr:from>
      <xdr:col>10</xdr:col>
      <xdr:colOff>37797</xdr:colOff>
      <xdr:row>35</xdr:row>
      <xdr:rowOff>45357</xdr:rowOff>
    </xdr:from>
    <xdr:to>
      <xdr:col>16</xdr:col>
      <xdr:colOff>574523</xdr:colOff>
      <xdr:row>47</xdr:row>
      <xdr:rowOff>151192</xdr:rowOff>
    </xdr:to>
    <xdr:pic>
      <xdr:nvPicPr>
        <xdr:cNvPr id="12" name="Picture 11">
          <a:extLst>
            <a:ext uri="{FF2B5EF4-FFF2-40B4-BE49-F238E27FC236}">
              <a16:creationId xmlns:a16="http://schemas.microsoft.com/office/drawing/2014/main" id="{471BF6D0-E0A5-49B9-1F11-E0216A2C24FA}"/>
            </a:ext>
          </a:extLst>
        </xdr:cNvPr>
        <xdr:cNvPicPr>
          <a:picLocks noChangeAspect="1"/>
        </xdr:cNvPicPr>
      </xdr:nvPicPr>
      <xdr:blipFill>
        <a:blip xmlns:r="http://schemas.openxmlformats.org/officeDocument/2006/relationships" r:embed="rId10"/>
        <a:stretch>
          <a:fillRect/>
        </a:stretch>
      </xdr:blipFill>
      <xdr:spPr>
        <a:xfrm>
          <a:off x="6161011" y="6516309"/>
          <a:ext cx="4210655" cy="2282978"/>
        </a:xfrm>
        <a:prstGeom prst="rect">
          <a:avLst/>
        </a:prstGeom>
        <a:noFill/>
        <a:ln>
          <a:solidFill>
            <a:sysClr val="windowText" lastClr="000000"/>
          </a:solidFill>
        </a:ln>
      </xdr:spPr>
    </xdr:pic>
    <xdr:clientData/>
  </xdr:twoCellAnchor>
  <xdr:twoCellAnchor editAs="oneCell">
    <xdr:from>
      <xdr:col>18</xdr:col>
      <xdr:colOff>30975</xdr:colOff>
      <xdr:row>35</xdr:row>
      <xdr:rowOff>23231</xdr:rowOff>
    </xdr:from>
    <xdr:to>
      <xdr:col>24</xdr:col>
      <xdr:colOff>573049</xdr:colOff>
      <xdr:row>47</xdr:row>
      <xdr:rowOff>147134</xdr:rowOff>
    </xdr:to>
    <xdr:pic>
      <xdr:nvPicPr>
        <xdr:cNvPr id="13" name="Picture 12">
          <a:extLst>
            <a:ext uri="{FF2B5EF4-FFF2-40B4-BE49-F238E27FC236}">
              <a16:creationId xmlns:a16="http://schemas.microsoft.com/office/drawing/2014/main" id="{65CDBE41-6E90-F72E-32EB-060839D06AF7}"/>
            </a:ext>
          </a:extLst>
        </xdr:cNvPr>
        <xdr:cNvPicPr>
          <a:picLocks noChangeAspect="1"/>
        </xdr:cNvPicPr>
      </xdr:nvPicPr>
      <xdr:blipFill>
        <a:blip xmlns:r="http://schemas.openxmlformats.org/officeDocument/2006/relationships" r:embed="rId11"/>
        <a:stretch>
          <a:fillRect/>
        </a:stretch>
      </xdr:blipFill>
      <xdr:spPr>
        <a:xfrm>
          <a:off x="11042804" y="6652011"/>
          <a:ext cx="4212684" cy="2354147"/>
        </a:xfrm>
        <a:prstGeom prst="rect">
          <a:avLst/>
        </a:prstGeom>
        <a:noFill/>
        <a:ln>
          <a:solidFill>
            <a:sysClr val="windowText" lastClr="000000"/>
          </a:solidFill>
        </a:ln>
      </xdr:spPr>
    </xdr:pic>
    <xdr:clientData/>
  </xdr:twoCellAnchor>
  <xdr:twoCellAnchor editAs="oneCell">
    <xdr:from>
      <xdr:col>2</xdr:col>
      <xdr:colOff>50132</xdr:colOff>
      <xdr:row>50</xdr:row>
      <xdr:rowOff>16711</xdr:rowOff>
    </xdr:from>
    <xdr:to>
      <xdr:col>8</xdr:col>
      <xdr:colOff>584867</xdr:colOff>
      <xdr:row>62</xdr:row>
      <xdr:rowOff>161818</xdr:rowOff>
    </xdr:to>
    <xdr:pic>
      <xdr:nvPicPr>
        <xdr:cNvPr id="14" name="Picture 13">
          <a:extLst>
            <a:ext uri="{FF2B5EF4-FFF2-40B4-BE49-F238E27FC236}">
              <a16:creationId xmlns:a16="http://schemas.microsoft.com/office/drawing/2014/main" id="{67D4709D-5968-3ECA-47EA-42B1F45FE757}"/>
            </a:ext>
          </a:extLst>
        </xdr:cNvPr>
        <xdr:cNvPicPr>
          <a:picLocks noChangeAspect="1"/>
        </xdr:cNvPicPr>
      </xdr:nvPicPr>
      <xdr:blipFill>
        <a:blip xmlns:r="http://schemas.openxmlformats.org/officeDocument/2006/relationships" r:embed="rId12"/>
        <a:stretch>
          <a:fillRect/>
        </a:stretch>
      </xdr:blipFill>
      <xdr:spPr>
        <a:xfrm>
          <a:off x="1270328" y="9467005"/>
          <a:ext cx="4195323" cy="2386284"/>
        </a:xfrm>
        <a:prstGeom prst="rect">
          <a:avLst/>
        </a:prstGeom>
        <a:noFill/>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45356</xdr:colOff>
      <xdr:row>53</xdr:row>
      <xdr:rowOff>36287</xdr:rowOff>
    </xdr:from>
    <xdr:to>
      <xdr:col>16</xdr:col>
      <xdr:colOff>588447</xdr:colOff>
      <xdr:row>66</xdr:row>
      <xdr:rowOff>145143</xdr:rowOff>
    </xdr:to>
    <xdr:pic>
      <xdr:nvPicPr>
        <xdr:cNvPr id="3" name="Picture 2">
          <a:extLst>
            <a:ext uri="{FF2B5EF4-FFF2-40B4-BE49-F238E27FC236}">
              <a16:creationId xmlns:a16="http://schemas.microsoft.com/office/drawing/2014/main" id="{54C6A118-CC38-1DA9-1A43-17CC98A70D68}"/>
            </a:ext>
          </a:extLst>
        </xdr:cNvPr>
        <xdr:cNvPicPr>
          <a:picLocks noChangeAspect="1"/>
        </xdr:cNvPicPr>
      </xdr:nvPicPr>
      <xdr:blipFill>
        <a:blip xmlns:r="http://schemas.openxmlformats.org/officeDocument/2006/relationships" r:embed="rId1"/>
        <a:stretch>
          <a:fillRect/>
        </a:stretch>
      </xdr:blipFill>
      <xdr:spPr>
        <a:xfrm>
          <a:off x="6121649" y="10010166"/>
          <a:ext cx="4188867" cy="2528425"/>
        </a:xfrm>
        <a:prstGeom prst="rect">
          <a:avLst/>
        </a:prstGeom>
        <a:ln>
          <a:solidFill>
            <a:sysClr val="windowText" lastClr="000000"/>
          </a:solidFill>
        </a:ln>
      </xdr:spPr>
    </xdr:pic>
    <xdr:clientData/>
  </xdr:twoCellAnchor>
  <xdr:twoCellAnchor editAs="oneCell">
    <xdr:from>
      <xdr:col>2</xdr:col>
      <xdr:colOff>76201</xdr:colOff>
      <xdr:row>5</xdr:row>
      <xdr:rowOff>57867</xdr:rowOff>
    </xdr:from>
    <xdr:to>
      <xdr:col>8</xdr:col>
      <xdr:colOff>599989</xdr:colOff>
      <xdr:row>18</xdr:row>
      <xdr:rowOff>136070</xdr:rowOff>
    </xdr:to>
    <xdr:pic>
      <xdr:nvPicPr>
        <xdr:cNvPr id="5" name="Picture 4">
          <a:extLst>
            <a:ext uri="{FF2B5EF4-FFF2-40B4-BE49-F238E27FC236}">
              <a16:creationId xmlns:a16="http://schemas.microsoft.com/office/drawing/2014/main" id="{135747EA-BC6C-13F0-FFFC-8035A3244CF3}"/>
            </a:ext>
          </a:extLst>
        </xdr:cNvPr>
        <xdr:cNvPicPr>
          <a:picLocks noChangeAspect="1"/>
        </xdr:cNvPicPr>
      </xdr:nvPicPr>
      <xdr:blipFill>
        <a:blip xmlns:r="http://schemas.openxmlformats.org/officeDocument/2006/relationships" r:embed="rId2"/>
        <a:stretch>
          <a:fillRect/>
        </a:stretch>
      </xdr:blipFill>
      <xdr:spPr>
        <a:xfrm>
          <a:off x="1291772" y="1082938"/>
          <a:ext cx="4170503" cy="2436775"/>
        </a:xfrm>
        <a:prstGeom prst="rect">
          <a:avLst/>
        </a:prstGeom>
        <a:ln>
          <a:solidFill>
            <a:sysClr val="windowText" lastClr="000000"/>
          </a:solidFill>
        </a:ln>
      </xdr:spPr>
    </xdr:pic>
    <xdr:clientData/>
  </xdr:twoCellAnchor>
  <xdr:twoCellAnchor editAs="oneCell">
    <xdr:from>
      <xdr:col>18</xdr:col>
      <xdr:colOff>60117</xdr:colOff>
      <xdr:row>21</xdr:row>
      <xdr:rowOff>24188</xdr:rowOff>
    </xdr:from>
    <xdr:to>
      <xdr:col>24</xdr:col>
      <xdr:colOff>585247</xdr:colOff>
      <xdr:row>34</xdr:row>
      <xdr:rowOff>126999</xdr:rowOff>
    </xdr:to>
    <xdr:pic>
      <xdr:nvPicPr>
        <xdr:cNvPr id="7" name="Picture 6">
          <a:extLst>
            <a:ext uri="{FF2B5EF4-FFF2-40B4-BE49-F238E27FC236}">
              <a16:creationId xmlns:a16="http://schemas.microsoft.com/office/drawing/2014/main" id="{4FB549FD-8BBE-D2EB-0C78-0812263BB320}"/>
            </a:ext>
          </a:extLst>
        </xdr:cNvPr>
        <xdr:cNvPicPr>
          <a:picLocks noChangeAspect="1"/>
        </xdr:cNvPicPr>
      </xdr:nvPicPr>
      <xdr:blipFill>
        <a:blip xmlns:r="http://schemas.openxmlformats.org/officeDocument/2006/relationships" r:embed="rId3"/>
        <a:stretch>
          <a:fillRect/>
        </a:stretch>
      </xdr:blipFill>
      <xdr:spPr>
        <a:xfrm>
          <a:off x="11000260" y="3952117"/>
          <a:ext cx="4171844" cy="2461382"/>
        </a:xfrm>
        <a:prstGeom prst="rect">
          <a:avLst/>
        </a:prstGeom>
        <a:ln>
          <a:solidFill>
            <a:sysClr val="windowText" lastClr="000000"/>
          </a:solidFill>
        </a:ln>
      </xdr:spPr>
    </xdr:pic>
    <xdr:clientData/>
  </xdr:twoCellAnchor>
  <xdr:twoCellAnchor editAs="oneCell">
    <xdr:from>
      <xdr:col>18</xdr:col>
      <xdr:colOff>54428</xdr:colOff>
      <xdr:row>53</xdr:row>
      <xdr:rowOff>32362</xdr:rowOff>
    </xdr:from>
    <xdr:to>
      <xdr:col>24</xdr:col>
      <xdr:colOff>576036</xdr:colOff>
      <xdr:row>66</xdr:row>
      <xdr:rowOff>136070</xdr:rowOff>
    </xdr:to>
    <xdr:pic>
      <xdr:nvPicPr>
        <xdr:cNvPr id="9" name="Picture 8">
          <a:extLst>
            <a:ext uri="{FF2B5EF4-FFF2-40B4-BE49-F238E27FC236}">
              <a16:creationId xmlns:a16="http://schemas.microsoft.com/office/drawing/2014/main" id="{7DECD709-9512-D5E6-4009-DE6AF723E4FE}"/>
            </a:ext>
          </a:extLst>
        </xdr:cNvPr>
        <xdr:cNvPicPr>
          <a:picLocks noChangeAspect="1"/>
        </xdr:cNvPicPr>
      </xdr:nvPicPr>
      <xdr:blipFill>
        <a:blip xmlns:r="http://schemas.openxmlformats.org/officeDocument/2006/relationships" r:embed="rId4"/>
        <a:stretch>
          <a:fillRect/>
        </a:stretch>
      </xdr:blipFill>
      <xdr:spPr>
        <a:xfrm>
          <a:off x="10994571" y="9766005"/>
          <a:ext cx="4168322" cy="2462279"/>
        </a:xfrm>
        <a:prstGeom prst="rect">
          <a:avLst/>
        </a:prstGeom>
        <a:ln>
          <a:solidFill>
            <a:sysClr val="windowText" lastClr="000000"/>
          </a:solidFill>
        </a:ln>
      </xdr:spPr>
    </xdr:pic>
    <xdr:clientData/>
  </xdr:twoCellAnchor>
  <xdr:twoCellAnchor editAs="oneCell">
    <xdr:from>
      <xdr:col>10</xdr:col>
      <xdr:colOff>36079</xdr:colOff>
      <xdr:row>5</xdr:row>
      <xdr:rowOff>21646</xdr:rowOff>
    </xdr:from>
    <xdr:to>
      <xdr:col>16</xdr:col>
      <xdr:colOff>584488</xdr:colOff>
      <xdr:row>18</xdr:row>
      <xdr:rowOff>129886</xdr:rowOff>
    </xdr:to>
    <xdr:pic>
      <xdr:nvPicPr>
        <xdr:cNvPr id="4" name="Picture 3">
          <a:extLst>
            <a:ext uri="{FF2B5EF4-FFF2-40B4-BE49-F238E27FC236}">
              <a16:creationId xmlns:a16="http://schemas.microsoft.com/office/drawing/2014/main" id="{2167CBB2-9661-7955-8D7A-189B30D94AF7}"/>
            </a:ext>
          </a:extLst>
        </xdr:cNvPr>
        <xdr:cNvPicPr>
          <a:picLocks noChangeAspect="1"/>
        </xdr:cNvPicPr>
      </xdr:nvPicPr>
      <xdr:blipFill>
        <a:blip xmlns:r="http://schemas.openxmlformats.org/officeDocument/2006/relationships" r:embed="rId5"/>
        <a:stretch>
          <a:fillRect/>
        </a:stretch>
      </xdr:blipFill>
      <xdr:spPr>
        <a:xfrm>
          <a:off x="6097443" y="1060737"/>
          <a:ext cx="4185227" cy="2547217"/>
        </a:xfrm>
        <a:prstGeom prst="rect">
          <a:avLst/>
        </a:prstGeom>
        <a:ln>
          <a:solidFill>
            <a:sysClr val="windowText" lastClr="000000"/>
          </a:solidFill>
        </a:ln>
      </xdr:spPr>
    </xdr:pic>
    <xdr:clientData/>
  </xdr:twoCellAnchor>
  <xdr:twoCellAnchor editAs="oneCell">
    <xdr:from>
      <xdr:col>18</xdr:col>
      <xdr:colOff>14430</xdr:colOff>
      <xdr:row>5</xdr:row>
      <xdr:rowOff>0</xdr:rowOff>
    </xdr:from>
    <xdr:to>
      <xdr:col>24</xdr:col>
      <xdr:colOff>577271</xdr:colOff>
      <xdr:row>18</xdr:row>
      <xdr:rowOff>108239</xdr:rowOff>
    </xdr:to>
    <xdr:pic>
      <xdr:nvPicPr>
        <xdr:cNvPr id="8" name="Picture 7">
          <a:extLst>
            <a:ext uri="{FF2B5EF4-FFF2-40B4-BE49-F238E27FC236}">
              <a16:creationId xmlns:a16="http://schemas.microsoft.com/office/drawing/2014/main" id="{63B2C943-697F-9D66-B3FC-CA5FEE21FD96}"/>
            </a:ext>
          </a:extLst>
        </xdr:cNvPr>
        <xdr:cNvPicPr>
          <a:picLocks noChangeAspect="1"/>
        </xdr:cNvPicPr>
      </xdr:nvPicPr>
      <xdr:blipFill>
        <a:blip xmlns:r="http://schemas.openxmlformats.org/officeDocument/2006/relationships" r:embed="rId6"/>
        <a:stretch>
          <a:fillRect/>
        </a:stretch>
      </xdr:blipFill>
      <xdr:spPr>
        <a:xfrm>
          <a:off x="10924885" y="1039091"/>
          <a:ext cx="4199659" cy="2547216"/>
        </a:xfrm>
        <a:prstGeom prst="rect">
          <a:avLst/>
        </a:prstGeom>
        <a:ln>
          <a:solidFill>
            <a:sysClr val="windowText" lastClr="000000"/>
          </a:solidFill>
        </a:ln>
      </xdr:spPr>
    </xdr:pic>
    <xdr:clientData/>
  </xdr:twoCellAnchor>
  <xdr:twoCellAnchor editAs="oneCell">
    <xdr:from>
      <xdr:col>2</xdr:col>
      <xdr:colOff>46691</xdr:colOff>
      <xdr:row>21</xdr:row>
      <xdr:rowOff>46692</xdr:rowOff>
    </xdr:from>
    <xdr:to>
      <xdr:col>8</xdr:col>
      <xdr:colOff>550955</xdr:colOff>
      <xdr:row>34</xdr:row>
      <xdr:rowOff>149411</xdr:rowOff>
    </xdr:to>
    <xdr:pic>
      <xdr:nvPicPr>
        <xdr:cNvPr id="10" name="Picture 9">
          <a:extLst>
            <a:ext uri="{FF2B5EF4-FFF2-40B4-BE49-F238E27FC236}">
              <a16:creationId xmlns:a16="http://schemas.microsoft.com/office/drawing/2014/main" id="{09A7FA28-D81B-CA8E-8D9F-3FDD618DD5FC}"/>
            </a:ext>
          </a:extLst>
        </xdr:cNvPr>
        <xdr:cNvPicPr>
          <a:picLocks noChangeAspect="1"/>
        </xdr:cNvPicPr>
      </xdr:nvPicPr>
      <xdr:blipFill>
        <a:blip xmlns:r="http://schemas.openxmlformats.org/officeDocument/2006/relationships" r:embed="rId7"/>
        <a:stretch>
          <a:fillRect/>
        </a:stretch>
      </xdr:blipFill>
      <xdr:spPr>
        <a:xfrm>
          <a:off x="1260662" y="4071471"/>
          <a:ext cx="4146175" cy="2530661"/>
        </a:xfrm>
        <a:prstGeom prst="rect">
          <a:avLst/>
        </a:prstGeom>
        <a:ln>
          <a:solidFill>
            <a:sysClr val="windowText" lastClr="000000"/>
          </a:solidFill>
        </a:ln>
      </xdr:spPr>
    </xdr:pic>
    <xdr:clientData/>
  </xdr:twoCellAnchor>
  <xdr:twoCellAnchor editAs="oneCell">
    <xdr:from>
      <xdr:col>10</xdr:col>
      <xdr:colOff>24740</xdr:colOff>
      <xdr:row>21</xdr:row>
      <xdr:rowOff>41233</xdr:rowOff>
    </xdr:from>
    <xdr:to>
      <xdr:col>16</xdr:col>
      <xdr:colOff>593767</xdr:colOff>
      <xdr:row>34</xdr:row>
      <xdr:rowOff>123701</xdr:rowOff>
    </xdr:to>
    <xdr:pic>
      <xdr:nvPicPr>
        <xdr:cNvPr id="11" name="Picture 10">
          <a:extLst>
            <a:ext uri="{FF2B5EF4-FFF2-40B4-BE49-F238E27FC236}">
              <a16:creationId xmlns:a16="http://schemas.microsoft.com/office/drawing/2014/main" id="{14DFDFAC-4DEC-CFE5-BB6A-7E5AE09A400A}"/>
            </a:ext>
          </a:extLst>
        </xdr:cNvPr>
        <xdr:cNvPicPr>
          <a:picLocks noChangeAspect="1"/>
        </xdr:cNvPicPr>
      </xdr:nvPicPr>
      <xdr:blipFill>
        <a:blip xmlns:r="http://schemas.openxmlformats.org/officeDocument/2006/relationships" r:embed="rId8"/>
        <a:stretch>
          <a:fillRect/>
        </a:stretch>
      </xdr:blipFill>
      <xdr:spPr>
        <a:xfrm>
          <a:off x="6127337" y="3974934"/>
          <a:ext cx="4230586" cy="2441040"/>
        </a:xfrm>
        <a:prstGeom prst="rect">
          <a:avLst/>
        </a:prstGeom>
        <a:ln>
          <a:solidFill>
            <a:sysClr val="windowText" lastClr="000000"/>
          </a:solidFill>
        </a:ln>
      </xdr:spPr>
    </xdr:pic>
    <xdr:clientData/>
  </xdr:twoCellAnchor>
  <xdr:twoCellAnchor editAs="oneCell">
    <xdr:from>
      <xdr:col>2</xdr:col>
      <xdr:colOff>82826</xdr:colOff>
      <xdr:row>37</xdr:row>
      <xdr:rowOff>41413</xdr:rowOff>
    </xdr:from>
    <xdr:to>
      <xdr:col>8</xdr:col>
      <xdr:colOff>589643</xdr:colOff>
      <xdr:row>50</xdr:row>
      <xdr:rowOff>124239</xdr:rowOff>
    </xdr:to>
    <xdr:pic>
      <xdr:nvPicPr>
        <xdr:cNvPr id="12" name="Picture 11">
          <a:extLst>
            <a:ext uri="{FF2B5EF4-FFF2-40B4-BE49-F238E27FC236}">
              <a16:creationId xmlns:a16="http://schemas.microsoft.com/office/drawing/2014/main" id="{38543110-FF5B-DE60-A5DF-05F5E2117258}"/>
            </a:ext>
          </a:extLst>
        </xdr:cNvPr>
        <xdr:cNvPicPr>
          <a:picLocks noChangeAspect="1"/>
        </xdr:cNvPicPr>
      </xdr:nvPicPr>
      <xdr:blipFill>
        <a:blip xmlns:r="http://schemas.openxmlformats.org/officeDocument/2006/relationships" r:embed="rId9"/>
        <a:stretch>
          <a:fillRect/>
        </a:stretch>
      </xdr:blipFill>
      <xdr:spPr>
        <a:xfrm>
          <a:off x="1307469" y="6875223"/>
          <a:ext cx="4180745" cy="2441397"/>
        </a:xfrm>
        <a:prstGeom prst="rect">
          <a:avLst/>
        </a:prstGeom>
        <a:ln>
          <a:solidFill>
            <a:sysClr val="windowText" lastClr="000000"/>
          </a:solidFill>
        </a:ln>
      </xdr:spPr>
    </xdr:pic>
    <xdr:clientData/>
  </xdr:twoCellAnchor>
  <xdr:twoCellAnchor editAs="oneCell">
    <xdr:from>
      <xdr:col>10</xdr:col>
      <xdr:colOff>30239</xdr:colOff>
      <xdr:row>37</xdr:row>
      <xdr:rowOff>30238</xdr:rowOff>
    </xdr:from>
    <xdr:to>
      <xdr:col>16</xdr:col>
      <xdr:colOff>582084</xdr:colOff>
      <xdr:row>50</xdr:row>
      <xdr:rowOff>136071</xdr:rowOff>
    </xdr:to>
    <xdr:pic>
      <xdr:nvPicPr>
        <xdr:cNvPr id="13" name="Picture 12">
          <a:extLst>
            <a:ext uri="{FF2B5EF4-FFF2-40B4-BE49-F238E27FC236}">
              <a16:creationId xmlns:a16="http://schemas.microsoft.com/office/drawing/2014/main" id="{50D40BA2-221E-8C20-8F7B-B0371888C2CC}"/>
            </a:ext>
          </a:extLst>
        </xdr:cNvPr>
        <xdr:cNvPicPr>
          <a:picLocks noChangeAspect="1"/>
        </xdr:cNvPicPr>
      </xdr:nvPicPr>
      <xdr:blipFill>
        <a:blip xmlns:r="http://schemas.openxmlformats.org/officeDocument/2006/relationships" r:embed="rId10"/>
        <a:stretch>
          <a:fillRect/>
        </a:stretch>
      </xdr:blipFill>
      <xdr:spPr>
        <a:xfrm>
          <a:off x="6153453" y="6864048"/>
          <a:ext cx="4225774" cy="2464404"/>
        </a:xfrm>
        <a:prstGeom prst="rect">
          <a:avLst/>
        </a:prstGeom>
        <a:ln>
          <a:solidFill>
            <a:sysClr val="windowText" lastClr="000000"/>
          </a:solidFill>
        </a:ln>
      </xdr:spPr>
    </xdr:pic>
    <xdr:clientData/>
  </xdr:twoCellAnchor>
  <xdr:twoCellAnchor editAs="oneCell">
    <xdr:from>
      <xdr:col>18</xdr:col>
      <xdr:colOff>43296</xdr:colOff>
      <xdr:row>37</xdr:row>
      <xdr:rowOff>57728</xdr:rowOff>
    </xdr:from>
    <xdr:to>
      <xdr:col>24</xdr:col>
      <xdr:colOff>587581</xdr:colOff>
      <xdr:row>50</xdr:row>
      <xdr:rowOff>151534</xdr:rowOff>
    </xdr:to>
    <xdr:pic>
      <xdr:nvPicPr>
        <xdr:cNvPr id="14" name="Picture 13">
          <a:extLst>
            <a:ext uri="{FF2B5EF4-FFF2-40B4-BE49-F238E27FC236}">
              <a16:creationId xmlns:a16="http://schemas.microsoft.com/office/drawing/2014/main" id="{1EEF2DFC-83F7-3018-34CD-AFD62D5BF063}"/>
            </a:ext>
          </a:extLst>
        </xdr:cNvPr>
        <xdr:cNvPicPr>
          <a:picLocks noChangeAspect="1"/>
        </xdr:cNvPicPr>
      </xdr:nvPicPr>
      <xdr:blipFill>
        <a:blip xmlns:r="http://schemas.openxmlformats.org/officeDocument/2006/relationships" r:embed="rId11"/>
        <a:stretch>
          <a:fillRect/>
        </a:stretch>
      </xdr:blipFill>
      <xdr:spPr>
        <a:xfrm>
          <a:off x="10953751" y="7100455"/>
          <a:ext cx="4181103" cy="2532784"/>
        </a:xfrm>
        <a:prstGeom prst="rect">
          <a:avLst/>
        </a:prstGeom>
        <a:ln>
          <a:solidFill>
            <a:sysClr val="windowText" lastClr="000000"/>
          </a:solidFill>
        </a:ln>
      </xdr:spPr>
    </xdr:pic>
    <xdr:clientData/>
  </xdr:twoCellAnchor>
  <xdr:twoCellAnchor editAs="oneCell">
    <xdr:from>
      <xdr:col>2</xdr:col>
      <xdr:colOff>32844</xdr:colOff>
      <xdr:row>53</xdr:row>
      <xdr:rowOff>31077</xdr:rowOff>
    </xdr:from>
    <xdr:to>
      <xdr:col>8</xdr:col>
      <xdr:colOff>580258</xdr:colOff>
      <xdr:row>66</xdr:row>
      <xdr:rowOff>142327</xdr:rowOff>
    </xdr:to>
    <xdr:pic>
      <xdr:nvPicPr>
        <xdr:cNvPr id="15" name="Picture 14">
          <a:extLst>
            <a:ext uri="{FF2B5EF4-FFF2-40B4-BE49-F238E27FC236}">
              <a16:creationId xmlns:a16="http://schemas.microsoft.com/office/drawing/2014/main" id="{2565B6C0-9524-3FE2-5A76-44120674018B}"/>
            </a:ext>
          </a:extLst>
        </xdr:cNvPr>
        <xdr:cNvPicPr>
          <a:picLocks noChangeAspect="1"/>
        </xdr:cNvPicPr>
      </xdr:nvPicPr>
      <xdr:blipFill>
        <a:blip xmlns:r="http://schemas.openxmlformats.org/officeDocument/2006/relationships" r:embed="rId12"/>
        <a:stretch>
          <a:fillRect/>
        </a:stretch>
      </xdr:blipFill>
      <xdr:spPr>
        <a:xfrm>
          <a:off x="1248103" y="10004956"/>
          <a:ext cx="4193189" cy="2530819"/>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49147</xdr:colOff>
      <xdr:row>21</xdr:row>
      <xdr:rowOff>53521</xdr:rowOff>
    </xdr:from>
    <xdr:to>
      <xdr:col>8</xdr:col>
      <xdr:colOff>580571</xdr:colOff>
      <xdr:row>33</xdr:row>
      <xdr:rowOff>136071</xdr:rowOff>
    </xdr:to>
    <xdr:pic>
      <xdr:nvPicPr>
        <xdr:cNvPr id="2" name="Picture 1">
          <a:extLst>
            <a:ext uri="{FF2B5EF4-FFF2-40B4-BE49-F238E27FC236}">
              <a16:creationId xmlns:a16="http://schemas.microsoft.com/office/drawing/2014/main" id="{835D2B7F-855B-5CFD-1410-E38126AD2AC2}"/>
            </a:ext>
          </a:extLst>
        </xdr:cNvPr>
        <xdr:cNvPicPr>
          <a:picLocks noChangeAspect="1"/>
        </xdr:cNvPicPr>
      </xdr:nvPicPr>
      <xdr:blipFill>
        <a:blip xmlns:r="http://schemas.openxmlformats.org/officeDocument/2006/relationships" r:embed="rId1"/>
        <a:stretch>
          <a:fillRect/>
        </a:stretch>
      </xdr:blipFill>
      <xdr:spPr>
        <a:xfrm>
          <a:off x="1264718" y="4081235"/>
          <a:ext cx="4178139" cy="2259693"/>
        </a:xfrm>
        <a:prstGeom prst="rect">
          <a:avLst/>
        </a:prstGeom>
        <a:ln>
          <a:solidFill>
            <a:sysClr val="windowText" lastClr="000000"/>
          </a:solidFill>
        </a:ln>
      </xdr:spPr>
    </xdr:pic>
    <xdr:clientData/>
  </xdr:twoCellAnchor>
  <xdr:twoCellAnchor editAs="oneCell">
    <xdr:from>
      <xdr:col>10</xdr:col>
      <xdr:colOff>54430</xdr:colOff>
      <xdr:row>6</xdr:row>
      <xdr:rowOff>41727</xdr:rowOff>
    </xdr:from>
    <xdr:to>
      <xdr:col>16</xdr:col>
      <xdr:colOff>562430</xdr:colOff>
      <xdr:row>18</xdr:row>
      <xdr:rowOff>154213</xdr:rowOff>
    </xdr:to>
    <xdr:pic>
      <xdr:nvPicPr>
        <xdr:cNvPr id="4" name="Picture 3">
          <a:extLst>
            <a:ext uri="{FF2B5EF4-FFF2-40B4-BE49-F238E27FC236}">
              <a16:creationId xmlns:a16="http://schemas.microsoft.com/office/drawing/2014/main" id="{1D0A3D64-A68D-9839-0DEB-E6DB05B910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32287" y="948870"/>
          <a:ext cx="4154714" cy="2289629"/>
        </a:xfrm>
        <a:prstGeom prst="rect">
          <a:avLst/>
        </a:prstGeom>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34197</xdr:colOff>
      <xdr:row>6</xdr:row>
      <xdr:rowOff>33445</xdr:rowOff>
    </xdr:from>
    <xdr:to>
      <xdr:col>24</xdr:col>
      <xdr:colOff>554131</xdr:colOff>
      <xdr:row>18</xdr:row>
      <xdr:rowOff>136071</xdr:rowOff>
    </xdr:to>
    <xdr:pic>
      <xdr:nvPicPr>
        <xdr:cNvPr id="5" name="Picture 4">
          <a:extLst>
            <a:ext uri="{FF2B5EF4-FFF2-40B4-BE49-F238E27FC236}">
              <a16:creationId xmlns:a16="http://schemas.microsoft.com/office/drawing/2014/main" id="{678938DA-F086-18A1-04E7-BEDC9BB4A6C3}"/>
            </a:ext>
          </a:extLst>
        </xdr:cNvPr>
        <xdr:cNvPicPr>
          <a:picLocks noChangeAspect="1"/>
        </xdr:cNvPicPr>
      </xdr:nvPicPr>
      <xdr:blipFill>
        <a:blip xmlns:r="http://schemas.openxmlformats.org/officeDocument/2006/relationships" r:embed="rId3"/>
        <a:stretch>
          <a:fillRect/>
        </a:stretch>
      </xdr:blipFill>
      <xdr:spPr>
        <a:xfrm>
          <a:off x="10974340" y="940588"/>
          <a:ext cx="4166648" cy="2279769"/>
        </a:xfrm>
        <a:prstGeom prst="rect">
          <a:avLst/>
        </a:prstGeom>
        <a:ln>
          <a:solidFill>
            <a:sysClr val="windowText" lastClr="000000"/>
          </a:solidFill>
        </a:ln>
      </xdr:spPr>
    </xdr:pic>
    <xdr:clientData/>
  </xdr:twoCellAnchor>
  <xdr:twoCellAnchor editAs="oneCell">
    <xdr:from>
      <xdr:col>18</xdr:col>
      <xdr:colOff>56396</xdr:colOff>
      <xdr:row>21</xdr:row>
      <xdr:rowOff>57574</xdr:rowOff>
    </xdr:from>
    <xdr:to>
      <xdr:col>24</xdr:col>
      <xdr:colOff>589642</xdr:colOff>
      <xdr:row>33</xdr:row>
      <xdr:rowOff>154215</xdr:rowOff>
    </xdr:to>
    <xdr:pic>
      <xdr:nvPicPr>
        <xdr:cNvPr id="6" name="Picture 5">
          <a:extLst>
            <a:ext uri="{FF2B5EF4-FFF2-40B4-BE49-F238E27FC236}">
              <a16:creationId xmlns:a16="http://schemas.microsoft.com/office/drawing/2014/main" id="{345C5BAC-BC7D-249B-5B57-7E747F516603}"/>
            </a:ext>
          </a:extLst>
        </xdr:cNvPr>
        <xdr:cNvPicPr>
          <a:picLocks noChangeAspect="1"/>
        </xdr:cNvPicPr>
      </xdr:nvPicPr>
      <xdr:blipFill>
        <a:blip xmlns:r="http://schemas.openxmlformats.org/officeDocument/2006/relationships" r:embed="rId4"/>
        <a:stretch>
          <a:fillRect/>
        </a:stretch>
      </xdr:blipFill>
      <xdr:spPr>
        <a:xfrm>
          <a:off x="10996539" y="4085288"/>
          <a:ext cx="4179960" cy="2273784"/>
        </a:xfrm>
        <a:prstGeom prst="rect">
          <a:avLst/>
        </a:prstGeom>
        <a:ln>
          <a:solidFill>
            <a:sysClr val="windowText" lastClr="000000"/>
          </a:solidFill>
        </a:ln>
      </xdr:spPr>
    </xdr:pic>
    <xdr:clientData/>
  </xdr:twoCellAnchor>
  <xdr:twoCellAnchor editAs="oneCell">
    <xdr:from>
      <xdr:col>10</xdr:col>
      <xdr:colOff>53008</xdr:colOff>
      <xdr:row>51</xdr:row>
      <xdr:rowOff>62393</xdr:rowOff>
    </xdr:from>
    <xdr:to>
      <xdr:col>16</xdr:col>
      <xdr:colOff>553358</xdr:colOff>
      <xdr:row>63</xdr:row>
      <xdr:rowOff>145144</xdr:rowOff>
    </xdr:to>
    <xdr:pic>
      <xdr:nvPicPr>
        <xdr:cNvPr id="7" name="Picture 6">
          <a:extLst>
            <a:ext uri="{FF2B5EF4-FFF2-40B4-BE49-F238E27FC236}">
              <a16:creationId xmlns:a16="http://schemas.microsoft.com/office/drawing/2014/main" id="{E8BC3019-1002-D7FA-076E-E3892BE29D73}"/>
            </a:ext>
          </a:extLst>
        </xdr:cNvPr>
        <xdr:cNvPicPr>
          <a:picLocks noChangeAspect="1"/>
        </xdr:cNvPicPr>
      </xdr:nvPicPr>
      <xdr:blipFill>
        <a:blip xmlns:r="http://schemas.openxmlformats.org/officeDocument/2006/relationships" r:embed="rId5"/>
        <a:stretch>
          <a:fillRect/>
        </a:stretch>
      </xdr:blipFill>
      <xdr:spPr>
        <a:xfrm>
          <a:off x="6130865" y="9532964"/>
          <a:ext cx="4147064" cy="2259894"/>
        </a:xfrm>
        <a:prstGeom prst="rect">
          <a:avLst/>
        </a:prstGeom>
        <a:ln>
          <a:solidFill>
            <a:sysClr val="windowText" lastClr="000000"/>
          </a:solidFill>
        </a:ln>
      </xdr:spPr>
    </xdr:pic>
    <xdr:clientData/>
  </xdr:twoCellAnchor>
  <xdr:twoCellAnchor editAs="oneCell">
    <xdr:from>
      <xdr:col>18</xdr:col>
      <xdr:colOff>50167</xdr:colOff>
      <xdr:row>51</xdr:row>
      <xdr:rowOff>45463</xdr:rowOff>
    </xdr:from>
    <xdr:to>
      <xdr:col>24</xdr:col>
      <xdr:colOff>580573</xdr:colOff>
      <xdr:row>63</xdr:row>
      <xdr:rowOff>136072</xdr:rowOff>
    </xdr:to>
    <xdr:pic>
      <xdr:nvPicPr>
        <xdr:cNvPr id="8" name="Picture 7">
          <a:extLst>
            <a:ext uri="{FF2B5EF4-FFF2-40B4-BE49-F238E27FC236}">
              <a16:creationId xmlns:a16="http://schemas.microsoft.com/office/drawing/2014/main" id="{4968F041-560A-3DC1-94F4-EAFEAFB40CEA}"/>
            </a:ext>
          </a:extLst>
        </xdr:cNvPr>
        <xdr:cNvPicPr>
          <a:picLocks noChangeAspect="1"/>
        </xdr:cNvPicPr>
      </xdr:nvPicPr>
      <xdr:blipFill>
        <a:blip xmlns:r="http://schemas.openxmlformats.org/officeDocument/2006/relationships" r:embed="rId6"/>
        <a:stretch>
          <a:fillRect/>
        </a:stretch>
      </xdr:blipFill>
      <xdr:spPr>
        <a:xfrm>
          <a:off x="10990310" y="9516034"/>
          <a:ext cx="4177120" cy="2267752"/>
        </a:xfrm>
        <a:prstGeom prst="rect">
          <a:avLst/>
        </a:prstGeom>
        <a:ln>
          <a:solidFill>
            <a:sysClr val="windowText" lastClr="000000"/>
          </a:solidFill>
        </a:ln>
      </xdr:spPr>
    </xdr:pic>
    <xdr:clientData/>
  </xdr:twoCellAnchor>
  <xdr:twoCellAnchor editAs="oneCell">
    <xdr:from>
      <xdr:col>2</xdr:col>
      <xdr:colOff>36285</xdr:colOff>
      <xdr:row>6</xdr:row>
      <xdr:rowOff>27214</xdr:rowOff>
    </xdr:from>
    <xdr:to>
      <xdr:col>8</xdr:col>
      <xdr:colOff>598714</xdr:colOff>
      <xdr:row>18</xdr:row>
      <xdr:rowOff>140501</xdr:rowOff>
    </xdr:to>
    <xdr:pic>
      <xdr:nvPicPr>
        <xdr:cNvPr id="3" name="Picture 2">
          <a:extLst>
            <a:ext uri="{FF2B5EF4-FFF2-40B4-BE49-F238E27FC236}">
              <a16:creationId xmlns:a16="http://schemas.microsoft.com/office/drawing/2014/main" id="{C0594E1E-3290-B1A1-6803-3889BD513D07}"/>
            </a:ext>
          </a:extLst>
        </xdr:cNvPr>
        <xdr:cNvPicPr>
          <a:picLocks noChangeAspect="1"/>
        </xdr:cNvPicPr>
      </xdr:nvPicPr>
      <xdr:blipFill>
        <a:blip xmlns:r="http://schemas.openxmlformats.org/officeDocument/2006/relationships" r:embed="rId7"/>
        <a:stretch>
          <a:fillRect/>
        </a:stretch>
      </xdr:blipFill>
      <xdr:spPr>
        <a:xfrm>
          <a:off x="1251856" y="1333500"/>
          <a:ext cx="4209144" cy="2290430"/>
        </a:xfrm>
        <a:prstGeom prst="rect">
          <a:avLst/>
        </a:prstGeom>
        <a:ln>
          <a:solidFill>
            <a:sysClr val="windowText" lastClr="000000"/>
          </a:solidFill>
        </a:ln>
      </xdr:spPr>
    </xdr:pic>
    <xdr:clientData/>
  </xdr:twoCellAnchor>
  <xdr:twoCellAnchor editAs="oneCell">
    <xdr:from>
      <xdr:col>10</xdr:col>
      <xdr:colOff>39690</xdr:colOff>
      <xdr:row>21</xdr:row>
      <xdr:rowOff>26459</xdr:rowOff>
    </xdr:from>
    <xdr:to>
      <xdr:col>16</xdr:col>
      <xdr:colOff>568854</xdr:colOff>
      <xdr:row>33</xdr:row>
      <xdr:rowOff>145521</xdr:rowOff>
    </xdr:to>
    <xdr:pic>
      <xdr:nvPicPr>
        <xdr:cNvPr id="9" name="Picture 8">
          <a:extLst>
            <a:ext uri="{FF2B5EF4-FFF2-40B4-BE49-F238E27FC236}">
              <a16:creationId xmlns:a16="http://schemas.microsoft.com/office/drawing/2014/main" id="{B69B5CE4-8B05-0862-53A8-B22E29631DAA}"/>
            </a:ext>
          </a:extLst>
        </xdr:cNvPr>
        <xdr:cNvPicPr>
          <a:picLocks noChangeAspect="1"/>
        </xdr:cNvPicPr>
      </xdr:nvPicPr>
      <xdr:blipFill>
        <a:blip xmlns:r="http://schemas.openxmlformats.org/officeDocument/2006/relationships" r:embed="rId8"/>
        <a:stretch>
          <a:fillRect/>
        </a:stretch>
      </xdr:blipFill>
      <xdr:spPr>
        <a:xfrm>
          <a:off x="6125107" y="4120886"/>
          <a:ext cx="4180414" cy="2341562"/>
        </a:xfrm>
        <a:prstGeom prst="rect">
          <a:avLst/>
        </a:prstGeom>
        <a:ln>
          <a:solidFill>
            <a:sysClr val="windowText" lastClr="000000"/>
          </a:solidFill>
        </a:ln>
      </xdr:spPr>
    </xdr:pic>
    <xdr:clientData/>
  </xdr:twoCellAnchor>
  <xdr:twoCellAnchor editAs="oneCell">
    <xdr:from>
      <xdr:col>2</xdr:col>
      <xdr:colOff>27609</xdr:colOff>
      <xdr:row>36</xdr:row>
      <xdr:rowOff>41413</xdr:rowOff>
    </xdr:from>
    <xdr:to>
      <xdr:col>8</xdr:col>
      <xdr:colOff>579784</xdr:colOff>
      <xdr:row>48</xdr:row>
      <xdr:rowOff>165652</xdr:rowOff>
    </xdr:to>
    <xdr:pic>
      <xdr:nvPicPr>
        <xdr:cNvPr id="10" name="Picture 9">
          <a:extLst>
            <a:ext uri="{FF2B5EF4-FFF2-40B4-BE49-F238E27FC236}">
              <a16:creationId xmlns:a16="http://schemas.microsoft.com/office/drawing/2014/main" id="{0A53BD49-1CB4-C5BA-2FE4-CFAB5232315A}"/>
            </a:ext>
          </a:extLst>
        </xdr:cNvPr>
        <xdr:cNvPicPr>
          <a:picLocks noChangeAspect="1"/>
        </xdr:cNvPicPr>
      </xdr:nvPicPr>
      <xdr:blipFill>
        <a:blip xmlns:r="http://schemas.openxmlformats.org/officeDocument/2006/relationships" r:embed="rId9"/>
        <a:stretch>
          <a:fillRect/>
        </a:stretch>
      </xdr:blipFill>
      <xdr:spPr>
        <a:xfrm>
          <a:off x="1242392" y="6957391"/>
          <a:ext cx="4196522" cy="2360544"/>
        </a:xfrm>
        <a:prstGeom prst="rect">
          <a:avLst/>
        </a:prstGeom>
        <a:ln>
          <a:solidFill>
            <a:sysClr val="windowText" lastClr="000000"/>
          </a:solidFill>
        </a:ln>
      </xdr:spPr>
    </xdr:pic>
    <xdr:clientData/>
  </xdr:twoCellAnchor>
  <xdr:twoCellAnchor editAs="oneCell">
    <xdr:from>
      <xdr:col>10</xdr:col>
      <xdr:colOff>49609</xdr:colOff>
      <xdr:row>36</xdr:row>
      <xdr:rowOff>29765</xdr:rowOff>
    </xdr:from>
    <xdr:to>
      <xdr:col>16</xdr:col>
      <xdr:colOff>575468</xdr:colOff>
      <xdr:row>48</xdr:row>
      <xdr:rowOff>138906</xdr:rowOff>
    </xdr:to>
    <xdr:pic>
      <xdr:nvPicPr>
        <xdr:cNvPr id="11" name="Picture 10">
          <a:extLst>
            <a:ext uri="{FF2B5EF4-FFF2-40B4-BE49-F238E27FC236}">
              <a16:creationId xmlns:a16="http://schemas.microsoft.com/office/drawing/2014/main" id="{5A71043E-EEBF-1FA6-1F68-2843AB795CE5}"/>
            </a:ext>
          </a:extLst>
        </xdr:cNvPr>
        <xdr:cNvPicPr>
          <a:picLocks noChangeAspect="1"/>
        </xdr:cNvPicPr>
      </xdr:nvPicPr>
      <xdr:blipFill>
        <a:blip xmlns:r="http://schemas.openxmlformats.org/officeDocument/2006/relationships" r:embed="rId10"/>
        <a:stretch>
          <a:fillRect/>
        </a:stretch>
      </xdr:blipFill>
      <xdr:spPr>
        <a:xfrm>
          <a:off x="6101953" y="7014765"/>
          <a:ext cx="4157265" cy="2371329"/>
        </a:xfrm>
        <a:prstGeom prst="rect">
          <a:avLst/>
        </a:prstGeom>
        <a:ln>
          <a:solidFill>
            <a:sysClr val="windowText" lastClr="000000"/>
          </a:solidFill>
        </a:ln>
      </xdr:spPr>
    </xdr:pic>
    <xdr:clientData/>
  </xdr:twoCellAnchor>
  <xdr:twoCellAnchor editAs="oneCell">
    <xdr:from>
      <xdr:col>18</xdr:col>
      <xdr:colOff>30239</xdr:colOff>
      <xdr:row>36</xdr:row>
      <xdr:rowOff>39030</xdr:rowOff>
    </xdr:from>
    <xdr:to>
      <xdr:col>24</xdr:col>
      <xdr:colOff>589645</xdr:colOff>
      <xdr:row>48</xdr:row>
      <xdr:rowOff>151190</xdr:rowOff>
    </xdr:to>
    <xdr:pic>
      <xdr:nvPicPr>
        <xdr:cNvPr id="12" name="Picture 11">
          <a:extLst>
            <a:ext uri="{FF2B5EF4-FFF2-40B4-BE49-F238E27FC236}">
              <a16:creationId xmlns:a16="http://schemas.microsoft.com/office/drawing/2014/main" id="{F1FD5CB9-CB1B-DE10-0341-F23831DD17B8}"/>
            </a:ext>
          </a:extLst>
        </xdr:cNvPr>
        <xdr:cNvPicPr>
          <a:picLocks noChangeAspect="1"/>
        </xdr:cNvPicPr>
      </xdr:nvPicPr>
      <xdr:blipFill>
        <a:blip xmlns:r="http://schemas.openxmlformats.org/officeDocument/2006/relationships" r:embed="rId11"/>
        <a:stretch>
          <a:fillRect/>
        </a:stretch>
      </xdr:blipFill>
      <xdr:spPr>
        <a:xfrm>
          <a:off x="11052025" y="6789685"/>
          <a:ext cx="4233334" cy="2289303"/>
        </a:xfrm>
        <a:prstGeom prst="rect">
          <a:avLst/>
        </a:prstGeom>
        <a:ln>
          <a:solidFill>
            <a:sysClr val="windowText" lastClr="000000"/>
          </a:solidFill>
        </a:ln>
      </xdr:spPr>
    </xdr:pic>
    <xdr:clientData/>
  </xdr:twoCellAnchor>
  <xdr:twoCellAnchor editAs="oneCell">
    <xdr:from>
      <xdr:col>2</xdr:col>
      <xdr:colOff>44382</xdr:colOff>
      <xdr:row>51</xdr:row>
      <xdr:rowOff>171771</xdr:rowOff>
    </xdr:from>
    <xdr:to>
      <xdr:col>8</xdr:col>
      <xdr:colOff>584497</xdr:colOff>
      <xdr:row>64</xdr:row>
      <xdr:rowOff>103180</xdr:rowOff>
    </xdr:to>
    <xdr:pic>
      <xdr:nvPicPr>
        <xdr:cNvPr id="13" name="Picture 12">
          <a:extLst>
            <a:ext uri="{FF2B5EF4-FFF2-40B4-BE49-F238E27FC236}">
              <a16:creationId xmlns:a16="http://schemas.microsoft.com/office/drawing/2014/main" id="{C9B1DE86-D6ED-38B5-E19C-B9A1DDBE8747}"/>
            </a:ext>
          </a:extLst>
        </xdr:cNvPr>
        <xdr:cNvPicPr>
          <a:picLocks noChangeAspect="1"/>
        </xdr:cNvPicPr>
      </xdr:nvPicPr>
      <xdr:blipFill>
        <a:blip xmlns:r="http://schemas.openxmlformats.org/officeDocument/2006/relationships" r:embed="rId12"/>
        <a:stretch>
          <a:fillRect/>
        </a:stretch>
      </xdr:blipFill>
      <xdr:spPr>
        <a:xfrm>
          <a:off x="1267053" y="9830870"/>
          <a:ext cx="4208127" cy="2341254"/>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P28"/>
  <sheetViews>
    <sheetView zoomScale="41" zoomScaleNormal="70" workbookViewId="0">
      <pane xSplit="4" topLeftCell="E1" activePane="topRight" state="frozen"/>
      <selection pane="topRight"/>
    </sheetView>
  </sheetViews>
  <sheetFormatPr defaultRowHeight="20.5" x14ac:dyDescent="0.45"/>
  <cols>
    <col min="1" max="1" width="9.1796875" style="5" customWidth="1"/>
    <col min="2" max="2" width="9.81640625" style="1" bestFit="1" customWidth="1"/>
    <col min="3" max="3" width="88.7265625" style="9" bestFit="1" customWidth="1"/>
    <col min="4" max="4" width="23.7265625" style="9" customWidth="1"/>
    <col min="5" max="5" width="12.1796875" style="9" bestFit="1" customWidth="1"/>
    <col min="6" max="6" width="26.90625" style="9" bestFit="1" customWidth="1"/>
    <col min="7" max="7" width="16.90625" style="9" bestFit="1" customWidth="1"/>
    <col min="8" max="8" width="13" style="9" bestFit="1" customWidth="1"/>
    <col min="9" max="9" width="18.7265625" style="9" bestFit="1" customWidth="1"/>
    <col min="10" max="10" width="26.54296875" style="9" bestFit="1" customWidth="1"/>
    <col min="11" max="11" width="16.6328125" style="9" bestFit="1" customWidth="1"/>
    <col min="12" max="12" width="19.7265625" style="9" bestFit="1" customWidth="1"/>
    <col min="13" max="13" width="23.7265625" style="9" bestFit="1" customWidth="1"/>
    <col min="14" max="14" width="16.90625" style="9" bestFit="1" customWidth="1"/>
    <col min="15" max="15" width="18.7265625" style="9" bestFit="1" customWidth="1"/>
    <col min="16" max="16" width="26.54296875" style="9" bestFit="1" customWidth="1"/>
    <col min="17" max="17" width="16.6328125" style="9" bestFit="1" customWidth="1"/>
    <col min="18" max="18" width="23.7265625" style="9" bestFit="1" customWidth="1"/>
    <col min="19" max="19" width="16.90625" style="9" bestFit="1" customWidth="1"/>
    <col min="20" max="20" width="18.7265625" style="9" bestFit="1" customWidth="1"/>
    <col min="21" max="21" width="26.54296875" style="9" bestFit="1" customWidth="1"/>
    <col min="22" max="22" width="16.6328125" style="9" bestFit="1" customWidth="1"/>
    <col min="23" max="23" width="23.7265625" style="9" bestFit="1" customWidth="1"/>
    <col min="24" max="24" width="16.90625" style="9" bestFit="1" customWidth="1"/>
    <col min="25" max="25" width="18.7265625" style="9" bestFit="1" customWidth="1"/>
    <col min="26" max="26" width="26.54296875" style="9" bestFit="1" customWidth="1"/>
    <col min="27" max="27" width="16.6328125" style="9" bestFit="1" customWidth="1"/>
    <col min="28" max="28" width="23.7265625" style="9" bestFit="1" customWidth="1"/>
    <col min="29" max="29" width="16.90625" style="9" bestFit="1" customWidth="1"/>
    <col min="30" max="30" width="18.7265625" style="9" bestFit="1" customWidth="1"/>
    <col min="31" max="31" width="26.54296875" style="9" bestFit="1" customWidth="1"/>
    <col min="32" max="32" width="16.6328125" style="9" bestFit="1" customWidth="1"/>
    <col min="33" max="33" width="23.7265625" style="9" bestFit="1" customWidth="1"/>
    <col min="34" max="34" width="16.90625" style="9" bestFit="1" customWidth="1"/>
    <col min="35" max="35" width="18.7265625" style="9" bestFit="1" customWidth="1"/>
    <col min="36" max="36" width="26.54296875" style="9" bestFit="1" customWidth="1"/>
    <col min="37" max="37" width="16.6328125" style="9" bestFit="1" customWidth="1"/>
    <col min="38" max="38" width="23.7265625" style="9" bestFit="1" customWidth="1"/>
    <col min="39" max="39" width="16.90625" style="9" bestFit="1" customWidth="1"/>
    <col min="40" max="40" width="18.7265625" style="9" bestFit="1" customWidth="1"/>
    <col min="41" max="41" width="26.54296875" style="9" bestFit="1" customWidth="1"/>
    <col min="42" max="42" width="16.6328125" style="9" bestFit="1" customWidth="1"/>
    <col min="43" max="43" width="23.7265625" style="9" bestFit="1" customWidth="1"/>
    <col min="44" max="44" width="16.90625" style="9" bestFit="1" customWidth="1"/>
    <col min="45" max="45" width="18.7265625" style="9" bestFit="1" customWidth="1"/>
    <col min="46" max="46" width="26.54296875" style="9" bestFit="1" customWidth="1"/>
    <col min="47" max="47" width="16.6328125" style="9" bestFit="1" customWidth="1"/>
    <col min="48" max="48" width="23.7265625" style="9" bestFit="1" customWidth="1"/>
    <col min="49" max="49" width="16.90625" style="9" bestFit="1" customWidth="1"/>
    <col min="50" max="50" width="18.7265625" style="9" bestFit="1" customWidth="1"/>
    <col min="51" max="51" width="26.54296875" style="9" bestFit="1" customWidth="1"/>
    <col min="52" max="52" width="16.6328125" style="9" bestFit="1" customWidth="1"/>
    <col min="53" max="53" width="23.7265625" style="9" bestFit="1" customWidth="1"/>
    <col min="54" max="54" width="16.90625" style="9" bestFit="1" customWidth="1"/>
    <col min="55" max="55" width="18.7265625" style="9" bestFit="1" customWidth="1"/>
    <col min="56" max="56" width="26.54296875" style="9" bestFit="1" customWidth="1"/>
    <col min="57" max="57" width="16.6328125" style="9" bestFit="1" customWidth="1"/>
    <col min="58" max="58" width="23.7265625" style="9" bestFit="1" customWidth="1"/>
    <col min="59" max="59" width="16.90625" style="9" bestFit="1" customWidth="1"/>
    <col min="60" max="60" width="18.7265625" style="9" bestFit="1" customWidth="1"/>
    <col min="61" max="61" width="26.54296875" style="9" bestFit="1" customWidth="1"/>
    <col min="62" max="62" width="16.6328125" style="9" bestFit="1" customWidth="1"/>
    <col min="63" max="63" width="23.7265625" style="9" bestFit="1" customWidth="1"/>
    <col min="64" max="64" width="16.90625" style="9" bestFit="1" customWidth="1"/>
    <col min="65" max="65" width="18.7265625" style="9" bestFit="1" customWidth="1"/>
    <col min="66" max="66" width="26.54296875" style="9" bestFit="1" customWidth="1"/>
    <col min="67" max="67" width="16.6328125" style="9" bestFit="1" customWidth="1"/>
    <col min="68" max="68" width="23.7265625" style="9" bestFit="1" customWidth="1"/>
    <col min="69" max="69" width="16.90625" style="9" bestFit="1" customWidth="1"/>
    <col min="70" max="70" width="18.7265625" style="9" bestFit="1" customWidth="1"/>
    <col min="71" max="71" width="26.54296875" style="9" bestFit="1" customWidth="1"/>
    <col min="72" max="72" width="16.6328125" style="9" bestFit="1" customWidth="1"/>
    <col min="73" max="73" width="23.7265625" style="9" bestFit="1" customWidth="1"/>
    <col min="74" max="74" width="16.90625" style="9" bestFit="1" customWidth="1"/>
    <col min="75" max="75" width="18.7265625" style="9" bestFit="1" customWidth="1"/>
    <col min="76" max="76" width="26.54296875" style="9" bestFit="1" customWidth="1"/>
    <col min="77" max="77" width="16.6328125" style="9" bestFit="1" customWidth="1"/>
    <col min="78" max="78" width="23.7265625" style="9" bestFit="1" customWidth="1"/>
    <col min="79" max="79" width="16.90625" style="9" bestFit="1" customWidth="1"/>
    <col min="80" max="80" width="18.7265625" style="9" bestFit="1" customWidth="1"/>
    <col min="81" max="81" width="26.54296875" style="9" bestFit="1" customWidth="1"/>
    <col min="82" max="82" width="16.6328125" style="9" bestFit="1" customWidth="1"/>
    <col min="83" max="83" width="23.7265625" style="9" bestFit="1" customWidth="1"/>
    <col min="84" max="84" width="16.90625" style="9" bestFit="1" customWidth="1"/>
    <col min="85" max="85" width="18.7265625" style="9" bestFit="1" customWidth="1"/>
    <col min="86" max="86" width="26.54296875" style="9" bestFit="1" customWidth="1"/>
    <col min="87" max="87" width="16.6328125" style="9" bestFit="1" customWidth="1"/>
    <col min="88" max="88" width="23.7265625" style="9" bestFit="1" customWidth="1"/>
    <col min="89" max="89" width="16.90625" style="9" bestFit="1" customWidth="1"/>
    <col min="90" max="90" width="18.7265625" style="9" bestFit="1" customWidth="1"/>
    <col min="91" max="91" width="26.54296875" style="9" bestFit="1" customWidth="1"/>
    <col min="92" max="92" width="16.6328125" style="9" bestFit="1" customWidth="1"/>
    <col min="93" max="93" width="23.7265625" style="9" bestFit="1" customWidth="1"/>
    <col min="94" max="94" width="16.90625" style="9" bestFit="1" customWidth="1"/>
    <col min="95" max="95" width="18.7265625" style="9" bestFit="1" customWidth="1"/>
    <col min="96" max="96" width="26.54296875" style="9" bestFit="1" customWidth="1"/>
    <col min="97" max="97" width="16.6328125" style="9" bestFit="1" customWidth="1"/>
    <col min="98" max="98" width="23.7265625" style="9" bestFit="1" customWidth="1"/>
    <col min="99" max="99" width="16.90625" style="9" bestFit="1" customWidth="1"/>
    <col min="100" max="100" width="18.7265625" style="9" bestFit="1" customWidth="1"/>
    <col min="101" max="101" width="26.54296875" style="9" bestFit="1" customWidth="1"/>
    <col min="102" max="102" width="16.6328125" style="9" bestFit="1" customWidth="1"/>
    <col min="103" max="103" width="23.7265625" style="9" bestFit="1" customWidth="1"/>
    <col min="104" max="104" width="16.90625" style="9" bestFit="1" customWidth="1"/>
    <col min="105" max="105" width="18.7265625" style="9" bestFit="1" customWidth="1"/>
    <col min="106" max="106" width="26.54296875" style="9" bestFit="1" customWidth="1"/>
    <col min="107" max="107" width="16.6328125" style="9" bestFit="1" customWidth="1"/>
    <col min="108" max="108" width="23.7265625" style="9" bestFit="1" customWidth="1"/>
    <col min="109" max="109" width="16.90625" style="9" bestFit="1" customWidth="1"/>
    <col min="110" max="110" width="18.7265625" style="9" bestFit="1" customWidth="1"/>
    <col min="111" max="111" width="26.54296875" style="9" bestFit="1" customWidth="1"/>
    <col min="112" max="112" width="16.6328125" style="9" bestFit="1" customWidth="1"/>
    <col min="113" max="113" width="23.7265625" style="9" bestFit="1" customWidth="1"/>
    <col min="114" max="114" width="16.90625" style="9" bestFit="1" customWidth="1"/>
    <col min="115" max="115" width="18.7265625" style="9" bestFit="1" customWidth="1"/>
    <col min="116" max="116" width="26.54296875" style="9" bestFit="1" customWidth="1"/>
    <col min="117" max="117" width="16.6328125" style="9" bestFit="1" customWidth="1"/>
    <col min="118" max="118" width="23.7265625" style="9" bestFit="1" customWidth="1"/>
    <col min="119" max="119" width="16.90625" style="9" bestFit="1" customWidth="1"/>
    <col min="120" max="120" width="18.7265625" style="9" bestFit="1" customWidth="1"/>
    <col min="121" max="121" width="26.54296875" style="9" bestFit="1" customWidth="1"/>
    <col min="122" max="122" width="16.6328125" style="9" bestFit="1" customWidth="1"/>
    <col min="123" max="123" width="23.7265625" style="9" bestFit="1" customWidth="1"/>
    <col min="124" max="124" width="16.90625" style="9" bestFit="1" customWidth="1"/>
    <col min="125" max="125" width="18.7265625" style="9" bestFit="1" customWidth="1"/>
    <col min="126" max="126" width="26.54296875" style="9" bestFit="1" customWidth="1"/>
    <col min="127" max="127" width="16.6328125" style="9" bestFit="1" customWidth="1"/>
    <col min="128" max="128" width="23.7265625" style="9" bestFit="1" customWidth="1"/>
    <col min="129" max="129" width="16.90625" style="9" bestFit="1" customWidth="1"/>
    <col min="130" max="130" width="18.7265625" style="9" bestFit="1" customWidth="1"/>
    <col min="131" max="131" width="26.54296875" style="9" bestFit="1" customWidth="1"/>
    <col min="132" max="132" width="16.6328125" style="9" bestFit="1" customWidth="1"/>
    <col min="133" max="133" width="23.7265625" style="9" bestFit="1" customWidth="1"/>
    <col min="134" max="134" width="16.90625" style="9" bestFit="1" customWidth="1"/>
    <col min="135" max="135" width="18.7265625" style="9" bestFit="1" customWidth="1"/>
    <col min="136" max="136" width="26.54296875" style="9" bestFit="1" customWidth="1"/>
    <col min="137" max="137" width="16.6328125" style="9" bestFit="1" customWidth="1"/>
    <col min="138" max="138" width="23.7265625" style="9" bestFit="1" customWidth="1"/>
    <col min="139" max="139" width="16.90625" style="9" bestFit="1" customWidth="1"/>
    <col min="140" max="140" width="18.7265625" style="9" bestFit="1" customWidth="1"/>
    <col min="141" max="141" width="26.54296875" style="9" bestFit="1" customWidth="1"/>
    <col min="142" max="142" width="16.6328125" style="9" bestFit="1" customWidth="1"/>
    <col min="143" max="143" width="23.7265625" style="9" bestFit="1" customWidth="1"/>
    <col min="144" max="144" width="16.90625" style="9" bestFit="1" customWidth="1"/>
    <col min="145" max="145" width="18.7265625" style="9" bestFit="1" customWidth="1"/>
    <col min="146" max="146" width="26.54296875" style="9" bestFit="1" customWidth="1"/>
    <col min="147" max="147" width="16.6328125" style="9" bestFit="1" customWidth="1"/>
    <col min="148" max="148" width="23.7265625" style="9" bestFit="1" customWidth="1"/>
    <col min="149" max="149" width="16.90625" style="9" bestFit="1" customWidth="1"/>
    <col min="150" max="150" width="18.7265625" style="9" bestFit="1" customWidth="1"/>
    <col min="151" max="151" width="26.54296875" style="9" bestFit="1" customWidth="1"/>
    <col min="152" max="152" width="16.6328125" style="9" bestFit="1" customWidth="1"/>
    <col min="153" max="153" width="23.7265625" style="9" bestFit="1" customWidth="1"/>
    <col min="154" max="154" width="16.90625" style="9" bestFit="1" customWidth="1"/>
    <col min="155" max="155" width="18.7265625" style="9" bestFit="1" customWidth="1"/>
    <col min="156" max="156" width="26.54296875" style="9" bestFit="1" customWidth="1"/>
    <col min="157" max="157" width="16.6328125" style="9" bestFit="1" customWidth="1"/>
    <col min="158" max="158" width="23.7265625" style="9" bestFit="1" customWidth="1"/>
    <col min="159" max="159" width="16.90625" style="9" bestFit="1" customWidth="1"/>
    <col min="160" max="160" width="18.7265625" style="9" bestFit="1" customWidth="1"/>
    <col min="161" max="161" width="26.54296875" style="9" bestFit="1" customWidth="1"/>
    <col min="162" max="162" width="16.6328125" style="9" bestFit="1" customWidth="1"/>
    <col min="163" max="163" width="23.7265625" style="9" bestFit="1" customWidth="1"/>
    <col min="164" max="164" width="16.90625" style="9" bestFit="1" customWidth="1"/>
    <col min="165" max="165" width="18.7265625" style="9" bestFit="1" customWidth="1"/>
    <col min="166" max="166" width="26.54296875" style="9" bestFit="1" customWidth="1"/>
    <col min="167" max="167" width="16.6328125" style="9" bestFit="1" customWidth="1"/>
    <col min="168" max="168" width="23.7265625" style="9" bestFit="1" customWidth="1"/>
    <col min="169" max="169" width="16.90625" style="9" bestFit="1" customWidth="1"/>
    <col min="170" max="170" width="18.7265625" style="9" bestFit="1" customWidth="1"/>
    <col min="171" max="171" width="26.54296875" style="9" bestFit="1" customWidth="1"/>
    <col min="172" max="172" width="16.6328125" style="9" bestFit="1" customWidth="1"/>
    <col min="173" max="173" width="23.7265625" style="9" bestFit="1" customWidth="1"/>
    <col min="174" max="174" width="16.90625" style="9" bestFit="1" customWidth="1"/>
    <col min="175" max="175" width="18.7265625" style="9" bestFit="1" customWidth="1"/>
    <col min="176" max="176" width="26.54296875" style="9" bestFit="1" customWidth="1"/>
    <col min="177" max="177" width="16.6328125" style="9" bestFit="1" customWidth="1"/>
    <col min="178" max="178" width="23.7265625" style="9" bestFit="1" customWidth="1"/>
    <col min="179" max="179" width="16.90625" style="9" bestFit="1" customWidth="1"/>
    <col min="180" max="180" width="18.7265625" style="9" bestFit="1" customWidth="1"/>
    <col min="181" max="181" width="26.54296875" style="9" bestFit="1" customWidth="1"/>
    <col min="182" max="182" width="16.6328125" style="9" bestFit="1" customWidth="1"/>
    <col min="183" max="183" width="23.7265625" style="9" bestFit="1" customWidth="1"/>
    <col min="184" max="184" width="16.90625" style="9" bestFit="1" customWidth="1"/>
    <col min="185" max="185" width="18.7265625" style="9" bestFit="1" customWidth="1"/>
    <col min="186" max="186" width="26.54296875" style="9" bestFit="1" customWidth="1"/>
    <col min="187" max="187" width="16.6328125" style="9" bestFit="1" customWidth="1"/>
    <col min="188" max="188" width="23.7265625" style="9" bestFit="1" customWidth="1"/>
    <col min="189" max="189" width="16.90625" style="9" bestFit="1" customWidth="1"/>
    <col min="190" max="190" width="18.7265625" style="9" bestFit="1" customWidth="1"/>
    <col min="191" max="191" width="26.54296875" style="9" bestFit="1" customWidth="1"/>
    <col min="192" max="192" width="16.6328125" style="9" bestFit="1" customWidth="1"/>
    <col min="193" max="193" width="23.7265625" style="9" bestFit="1" customWidth="1"/>
    <col min="194" max="194" width="16.90625" style="9" bestFit="1" customWidth="1"/>
    <col min="195" max="195" width="18.7265625" style="9" bestFit="1" customWidth="1"/>
    <col min="196" max="196" width="26.54296875" style="9" bestFit="1" customWidth="1"/>
    <col min="197" max="197" width="16.6328125" style="9" bestFit="1" customWidth="1"/>
    <col min="198" max="198" width="23.7265625" style="9" bestFit="1" customWidth="1"/>
    <col min="199" max="199" width="16.90625" style="9" bestFit="1" customWidth="1"/>
    <col min="200" max="200" width="18.7265625" style="9" bestFit="1" customWidth="1"/>
    <col min="201" max="201" width="26.54296875" style="9" bestFit="1" customWidth="1"/>
    <col min="202" max="202" width="16.6328125" style="9" bestFit="1" customWidth="1"/>
    <col min="203" max="203" width="23.7265625" style="9" bestFit="1" customWidth="1"/>
    <col min="204" max="204" width="16.90625" style="9" bestFit="1" customWidth="1"/>
    <col min="205" max="205" width="18.7265625" style="9" bestFit="1" customWidth="1"/>
    <col min="206" max="206" width="26.54296875" style="9" bestFit="1" customWidth="1"/>
    <col min="207" max="207" width="16.6328125" style="9" bestFit="1" customWidth="1"/>
    <col min="208" max="208" width="23.7265625" style="9" bestFit="1" customWidth="1"/>
    <col min="209" max="209" width="16.90625" style="9" bestFit="1" customWidth="1"/>
    <col min="210" max="210" width="18.7265625" style="9" bestFit="1" customWidth="1"/>
    <col min="211" max="211" width="26.54296875" style="9" bestFit="1" customWidth="1"/>
    <col min="212" max="212" width="16.6328125" style="9" bestFit="1" customWidth="1"/>
    <col min="213" max="213" width="23.7265625" style="9" bestFit="1" customWidth="1"/>
    <col min="214" max="214" width="16.90625" style="9" bestFit="1" customWidth="1"/>
    <col min="215" max="215" width="18.7265625" style="9" bestFit="1" customWidth="1"/>
    <col min="216" max="216" width="26.54296875" style="9" bestFit="1" customWidth="1"/>
    <col min="217" max="217" width="16.6328125" style="9" bestFit="1" customWidth="1"/>
    <col min="218" max="218" width="23.7265625" style="9" bestFit="1" customWidth="1"/>
    <col min="219" max="219" width="16.90625" style="9" bestFit="1" customWidth="1"/>
    <col min="220" max="220" width="18.7265625" style="9" bestFit="1" customWidth="1"/>
    <col min="221" max="221" width="26.54296875" style="9" bestFit="1" customWidth="1"/>
    <col min="222" max="222" width="16.6328125" style="9" bestFit="1" customWidth="1"/>
    <col min="223" max="223" width="23.7265625" style="9" customWidth="1"/>
    <col min="224" max="224" width="16.90625" style="9" bestFit="1" customWidth="1"/>
    <col min="225" max="16384" width="8.7265625" style="9"/>
  </cols>
  <sheetData>
    <row r="1" spans="2:224" s="5" customFormat="1" ht="16" thickBot="1" x14ac:dyDescent="0.4"/>
    <row r="2" spans="2:224" s="5" customFormat="1" ht="41" thickBot="1" x14ac:dyDescent="0.4">
      <c r="B2" s="305" t="s">
        <v>200</v>
      </c>
      <c r="C2" s="306"/>
      <c r="D2" s="306"/>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6"/>
      <c r="AI2" s="306"/>
      <c r="AJ2" s="306"/>
      <c r="AK2" s="306"/>
      <c r="AL2" s="306"/>
      <c r="AM2" s="306"/>
      <c r="AN2" s="306"/>
      <c r="AO2" s="306"/>
      <c r="AP2" s="306"/>
      <c r="AQ2" s="306"/>
      <c r="AR2" s="306"/>
      <c r="AS2" s="306"/>
      <c r="AT2" s="306"/>
      <c r="AU2" s="306"/>
      <c r="AV2" s="306"/>
      <c r="AW2" s="306"/>
      <c r="AX2" s="306"/>
      <c r="AY2" s="306"/>
      <c r="AZ2" s="306"/>
      <c r="BA2" s="306"/>
      <c r="BB2" s="306"/>
      <c r="BC2" s="306"/>
      <c r="BD2" s="306"/>
      <c r="BE2" s="306"/>
      <c r="BF2" s="306"/>
      <c r="BG2" s="306"/>
      <c r="BH2" s="306"/>
      <c r="BI2" s="306"/>
      <c r="BJ2" s="306"/>
      <c r="BK2" s="306"/>
      <c r="BL2" s="306"/>
      <c r="BM2" s="306"/>
      <c r="BN2" s="306"/>
      <c r="BO2" s="306"/>
      <c r="BP2" s="306"/>
      <c r="BQ2" s="306"/>
      <c r="BR2" s="306"/>
      <c r="BS2" s="306"/>
      <c r="BT2" s="306"/>
      <c r="BU2" s="306"/>
      <c r="BV2" s="306"/>
      <c r="BW2" s="306"/>
      <c r="BX2" s="306"/>
      <c r="BY2" s="306"/>
      <c r="BZ2" s="306"/>
      <c r="CA2" s="306"/>
      <c r="CB2" s="306"/>
      <c r="CC2" s="306"/>
      <c r="CD2" s="306"/>
      <c r="CE2" s="306"/>
      <c r="CF2" s="306"/>
      <c r="CG2" s="306"/>
      <c r="CH2" s="306"/>
      <c r="CI2" s="306"/>
      <c r="CJ2" s="306"/>
      <c r="CK2" s="306"/>
      <c r="CL2" s="306"/>
      <c r="CM2" s="306"/>
      <c r="CN2" s="306"/>
      <c r="CO2" s="306"/>
      <c r="CP2" s="306"/>
      <c r="CQ2" s="306"/>
      <c r="CR2" s="306"/>
      <c r="CS2" s="306"/>
      <c r="CT2" s="306"/>
      <c r="CU2" s="306"/>
      <c r="CV2" s="306"/>
      <c r="CW2" s="306"/>
      <c r="CX2" s="306"/>
      <c r="CY2" s="306"/>
      <c r="CZ2" s="307"/>
    </row>
    <row r="3" spans="2:224" s="5" customFormat="1" ht="19" customHeight="1" thickBot="1" x14ac:dyDescent="0.4">
      <c r="B3" s="6"/>
      <c r="C3" s="6"/>
      <c r="D3" s="6"/>
      <c r="E3" s="6"/>
      <c r="F3" s="6"/>
      <c r="G3" s="6"/>
      <c r="H3" s="6"/>
      <c r="I3" s="6"/>
      <c r="J3" s="6"/>
      <c r="K3" s="6"/>
      <c r="L3" s="6"/>
      <c r="M3" s="6"/>
      <c r="N3" s="6"/>
      <c r="O3" s="6"/>
      <c r="P3" s="6"/>
      <c r="Q3" s="6"/>
      <c r="R3" s="6"/>
    </row>
    <row r="4" spans="2:224" s="5" customFormat="1" ht="19" customHeight="1" thickBot="1" x14ac:dyDescent="0.4">
      <c r="B4" s="6"/>
      <c r="C4" s="6"/>
      <c r="D4" s="6"/>
      <c r="E4" s="6"/>
      <c r="F4" s="6"/>
      <c r="G4" s="6"/>
      <c r="H4" s="6"/>
      <c r="I4" s="302" t="s">
        <v>158</v>
      </c>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4"/>
      <c r="AI4" s="302" t="s">
        <v>159</v>
      </c>
      <c r="AJ4" s="303"/>
      <c r="AK4" s="303"/>
      <c r="AL4" s="303"/>
      <c r="AM4" s="303"/>
      <c r="AN4" s="303"/>
      <c r="AO4" s="303"/>
      <c r="AP4" s="303"/>
      <c r="AQ4" s="303"/>
      <c r="AR4" s="303"/>
      <c r="AS4" s="303"/>
      <c r="AT4" s="303"/>
      <c r="AU4" s="303"/>
      <c r="AV4" s="303"/>
      <c r="AW4" s="303"/>
      <c r="AX4" s="303"/>
      <c r="AY4" s="303"/>
      <c r="AZ4" s="303"/>
      <c r="BA4" s="303"/>
      <c r="BB4" s="303"/>
      <c r="BC4" s="303"/>
      <c r="BD4" s="303"/>
      <c r="BE4" s="303"/>
      <c r="BF4" s="303"/>
      <c r="BG4" s="303"/>
      <c r="BH4" s="302" t="s">
        <v>160</v>
      </c>
      <c r="BI4" s="303"/>
      <c r="BJ4" s="303"/>
      <c r="BK4" s="303"/>
      <c r="BL4" s="303"/>
      <c r="BM4" s="303"/>
      <c r="BN4" s="303"/>
      <c r="BO4" s="303"/>
      <c r="BP4" s="303"/>
      <c r="BQ4" s="303"/>
      <c r="BR4" s="303"/>
      <c r="BS4" s="303"/>
      <c r="BT4" s="303"/>
      <c r="BU4" s="303"/>
      <c r="BV4" s="303"/>
      <c r="BW4" s="303"/>
      <c r="BX4" s="303"/>
      <c r="BY4" s="303"/>
      <c r="BZ4" s="303"/>
      <c r="CA4" s="304"/>
      <c r="CB4" s="302" t="s">
        <v>173</v>
      </c>
      <c r="CC4" s="303"/>
      <c r="CD4" s="303"/>
      <c r="CE4" s="303"/>
      <c r="CF4" s="303"/>
      <c r="CG4" s="303"/>
      <c r="CH4" s="303"/>
      <c r="CI4" s="303"/>
      <c r="CJ4" s="303"/>
      <c r="CK4" s="303"/>
      <c r="CL4" s="303"/>
      <c r="CM4" s="303"/>
      <c r="CN4" s="303"/>
      <c r="CO4" s="303"/>
      <c r="CP4" s="303"/>
      <c r="CQ4" s="303"/>
      <c r="CR4" s="303"/>
      <c r="CS4" s="303"/>
      <c r="CT4" s="303"/>
      <c r="CU4" s="303"/>
      <c r="CV4" s="303"/>
      <c r="CW4" s="303"/>
      <c r="CX4" s="303"/>
      <c r="CY4" s="303"/>
      <c r="CZ4" s="304"/>
      <c r="DA4" s="302" t="s">
        <v>199</v>
      </c>
      <c r="DB4" s="303"/>
      <c r="DC4" s="303"/>
      <c r="DD4" s="303"/>
      <c r="DE4" s="303"/>
      <c r="DF4" s="303"/>
      <c r="DG4" s="303"/>
      <c r="DH4" s="303"/>
      <c r="DI4" s="303"/>
      <c r="DJ4" s="303"/>
      <c r="DK4" s="303"/>
      <c r="DL4" s="303"/>
      <c r="DM4" s="303"/>
      <c r="DN4" s="303"/>
      <c r="DO4" s="303"/>
      <c r="DP4" s="303"/>
      <c r="DQ4" s="303"/>
      <c r="DR4" s="303"/>
      <c r="DS4" s="303"/>
      <c r="DT4" s="303"/>
      <c r="DU4" s="303"/>
      <c r="DV4" s="303"/>
      <c r="DW4" s="303"/>
      <c r="DX4" s="303"/>
      <c r="DY4" s="304"/>
      <c r="DZ4" s="302" t="s">
        <v>210</v>
      </c>
      <c r="EA4" s="303"/>
      <c r="EB4" s="303"/>
      <c r="EC4" s="303"/>
      <c r="ED4" s="303"/>
      <c r="EE4" s="303"/>
      <c r="EF4" s="303"/>
      <c r="EG4" s="303"/>
      <c r="EH4" s="303"/>
      <c r="EI4" s="303"/>
      <c r="EJ4" s="303"/>
      <c r="EK4" s="303"/>
      <c r="EL4" s="303"/>
      <c r="EM4" s="303"/>
      <c r="EN4" s="303"/>
      <c r="EO4" s="303"/>
      <c r="EP4" s="303"/>
      <c r="EQ4" s="303"/>
      <c r="ER4" s="303"/>
      <c r="ES4" s="303"/>
      <c r="ET4" s="303"/>
      <c r="EU4" s="303"/>
      <c r="EV4" s="303"/>
      <c r="EW4" s="303"/>
      <c r="EX4" s="304"/>
      <c r="EY4" s="302" t="s">
        <v>212</v>
      </c>
      <c r="EZ4" s="303"/>
      <c r="FA4" s="303"/>
      <c r="FB4" s="303"/>
      <c r="FC4" s="303"/>
      <c r="FD4" s="303"/>
      <c r="FE4" s="303"/>
      <c r="FF4" s="303"/>
      <c r="FG4" s="303"/>
      <c r="FH4" s="303"/>
      <c r="FI4" s="303"/>
      <c r="FJ4" s="303"/>
      <c r="FK4" s="303"/>
      <c r="FL4" s="303"/>
      <c r="FM4" s="303"/>
      <c r="FN4" s="303"/>
      <c r="FO4" s="303"/>
      <c r="FP4" s="303"/>
      <c r="FQ4" s="303"/>
      <c r="FR4" s="304"/>
      <c r="FS4" s="302" t="s">
        <v>217</v>
      </c>
      <c r="FT4" s="303"/>
      <c r="FU4" s="303"/>
      <c r="FV4" s="303"/>
      <c r="FW4" s="303"/>
      <c r="FX4" s="303"/>
      <c r="FY4" s="303"/>
      <c r="FZ4" s="303"/>
      <c r="GA4" s="303"/>
      <c r="GB4" s="303"/>
      <c r="GC4" s="303"/>
      <c r="GD4" s="303"/>
      <c r="GE4" s="303"/>
      <c r="GF4" s="303"/>
      <c r="GG4" s="303"/>
      <c r="GH4" s="303"/>
      <c r="GI4" s="303"/>
      <c r="GJ4" s="303"/>
      <c r="GK4" s="303"/>
      <c r="GL4" s="303"/>
      <c r="GM4" s="303"/>
      <c r="GN4" s="303"/>
      <c r="GO4" s="303"/>
      <c r="GP4" s="303"/>
      <c r="GQ4" s="304"/>
      <c r="GR4" s="302" t="s">
        <v>224</v>
      </c>
      <c r="GS4" s="303"/>
      <c r="GT4" s="303"/>
      <c r="GU4" s="303"/>
      <c r="GV4" s="303"/>
      <c r="GW4" s="303"/>
      <c r="GX4" s="303"/>
      <c r="GY4" s="303"/>
      <c r="GZ4" s="303"/>
      <c r="HA4" s="303"/>
      <c r="HB4" s="303"/>
      <c r="HC4" s="303"/>
      <c r="HD4" s="303"/>
      <c r="HE4" s="303"/>
      <c r="HF4" s="303"/>
      <c r="HG4" s="303"/>
      <c r="HH4" s="303"/>
      <c r="HI4" s="303"/>
      <c r="HJ4" s="303"/>
      <c r="HK4" s="303"/>
      <c r="HL4" s="303"/>
      <c r="HM4" s="303"/>
      <c r="HN4" s="303"/>
      <c r="HO4" s="303"/>
      <c r="HP4" s="304"/>
    </row>
    <row r="5" spans="2:224" s="1" customFormat="1" ht="21" thickBot="1" x14ac:dyDescent="0.5">
      <c r="B5" s="9"/>
      <c r="C5" s="10"/>
      <c r="D5" s="10"/>
      <c r="E5" s="296">
        <v>46142</v>
      </c>
      <c r="F5" s="308"/>
      <c r="G5" s="309"/>
      <c r="H5" s="9"/>
      <c r="I5" s="299" t="s">
        <v>75</v>
      </c>
      <c r="J5" s="300"/>
      <c r="K5" s="300"/>
      <c r="L5" s="300"/>
      <c r="M5" s="300"/>
      <c r="N5" s="301"/>
      <c r="O5" s="296" t="s">
        <v>76</v>
      </c>
      <c r="P5" s="297"/>
      <c r="Q5" s="297"/>
      <c r="R5" s="297"/>
      <c r="S5" s="298"/>
      <c r="T5" s="296" t="s">
        <v>77</v>
      </c>
      <c r="U5" s="297"/>
      <c r="V5" s="297"/>
      <c r="W5" s="297"/>
      <c r="X5" s="298"/>
      <c r="Y5" s="296" t="s">
        <v>78</v>
      </c>
      <c r="Z5" s="297"/>
      <c r="AA5" s="297"/>
      <c r="AB5" s="297"/>
      <c r="AC5" s="298"/>
      <c r="AD5" s="296" t="s">
        <v>79</v>
      </c>
      <c r="AE5" s="297"/>
      <c r="AF5" s="297"/>
      <c r="AG5" s="297"/>
      <c r="AH5" s="298"/>
      <c r="AI5" s="296" t="s">
        <v>102</v>
      </c>
      <c r="AJ5" s="297"/>
      <c r="AK5" s="297"/>
      <c r="AL5" s="297"/>
      <c r="AM5" s="298"/>
      <c r="AN5" s="296" t="s">
        <v>103</v>
      </c>
      <c r="AO5" s="297"/>
      <c r="AP5" s="297"/>
      <c r="AQ5" s="297"/>
      <c r="AR5" s="298"/>
      <c r="AS5" s="296" t="s">
        <v>104</v>
      </c>
      <c r="AT5" s="297"/>
      <c r="AU5" s="297"/>
      <c r="AV5" s="297"/>
      <c r="AW5" s="298"/>
      <c r="AX5" s="296" t="s">
        <v>105</v>
      </c>
      <c r="AY5" s="297"/>
      <c r="AZ5" s="297"/>
      <c r="BA5" s="297"/>
      <c r="BB5" s="298"/>
      <c r="BC5" s="296" t="s">
        <v>106</v>
      </c>
      <c r="BD5" s="297"/>
      <c r="BE5" s="297"/>
      <c r="BF5" s="297"/>
      <c r="BG5" s="298"/>
      <c r="BH5" s="296" t="s">
        <v>154</v>
      </c>
      <c r="BI5" s="297"/>
      <c r="BJ5" s="297"/>
      <c r="BK5" s="297"/>
      <c r="BL5" s="298"/>
      <c r="BM5" s="296" t="s">
        <v>155</v>
      </c>
      <c r="BN5" s="297"/>
      <c r="BO5" s="297"/>
      <c r="BP5" s="297"/>
      <c r="BQ5" s="298"/>
      <c r="BR5" s="296" t="s">
        <v>156</v>
      </c>
      <c r="BS5" s="297"/>
      <c r="BT5" s="297"/>
      <c r="BU5" s="297"/>
      <c r="BV5" s="298"/>
      <c r="BW5" s="296" t="s">
        <v>157</v>
      </c>
      <c r="BX5" s="297"/>
      <c r="BY5" s="297"/>
      <c r="BZ5" s="297"/>
      <c r="CA5" s="298"/>
      <c r="CB5" s="296" t="s">
        <v>174</v>
      </c>
      <c r="CC5" s="297"/>
      <c r="CD5" s="297"/>
      <c r="CE5" s="297"/>
      <c r="CF5" s="298"/>
      <c r="CG5" s="296" t="s">
        <v>175</v>
      </c>
      <c r="CH5" s="297"/>
      <c r="CI5" s="297"/>
      <c r="CJ5" s="297"/>
      <c r="CK5" s="298"/>
      <c r="CL5" s="296" t="s">
        <v>176</v>
      </c>
      <c r="CM5" s="297"/>
      <c r="CN5" s="297"/>
      <c r="CO5" s="297"/>
      <c r="CP5" s="298"/>
      <c r="CQ5" s="296" t="s">
        <v>177</v>
      </c>
      <c r="CR5" s="297"/>
      <c r="CS5" s="297"/>
      <c r="CT5" s="297"/>
      <c r="CU5" s="298"/>
      <c r="CV5" s="296" t="s">
        <v>178</v>
      </c>
      <c r="CW5" s="297"/>
      <c r="CX5" s="297"/>
      <c r="CY5" s="297"/>
      <c r="CZ5" s="298"/>
      <c r="DA5" s="296" t="s">
        <v>194</v>
      </c>
      <c r="DB5" s="297"/>
      <c r="DC5" s="297"/>
      <c r="DD5" s="297"/>
      <c r="DE5" s="298"/>
      <c r="DF5" s="296" t="s">
        <v>195</v>
      </c>
      <c r="DG5" s="297"/>
      <c r="DH5" s="297"/>
      <c r="DI5" s="297"/>
      <c r="DJ5" s="298"/>
      <c r="DK5" s="296" t="s">
        <v>196</v>
      </c>
      <c r="DL5" s="297"/>
      <c r="DM5" s="297"/>
      <c r="DN5" s="297"/>
      <c r="DO5" s="298"/>
      <c r="DP5" s="296" t="s">
        <v>197</v>
      </c>
      <c r="DQ5" s="297"/>
      <c r="DR5" s="297"/>
      <c r="DS5" s="297"/>
      <c r="DT5" s="298"/>
      <c r="DU5" s="296" t="s">
        <v>198</v>
      </c>
      <c r="DV5" s="297"/>
      <c r="DW5" s="297"/>
      <c r="DX5" s="297"/>
      <c r="DY5" s="298"/>
      <c r="DZ5" s="296" t="s">
        <v>205</v>
      </c>
      <c r="EA5" s="297"/>
      <c r="EB5" s="297"/>
      <c r="EC5" s="297"/>
      <c r="ED5" s="298"/>
      <c r="EE5" s="296" t="s">
        <v>206</v>
      </c>
      <c r="EF5" s="297"/>
      <c r="EG5" s="297"/>
      <c r="EH5" s="297"/>
      <c r="EI5" s="298"/>
      <c r="EJ5" s="296" t="s">
        <v>207</v>
      </c>
      <c r="EK5" s="297"/>
      <c r="EL5" s="297"/>
      <c r="EM5" s="297"/>
      <c r="EN5" s="298"/>
      <c r="EO5" s="296" t="s">
        <v>208</v>
      </c>
      <c r="EP5" s="297"/>
      <c r="EQ5" s="297"/>
      <c r="ER5" s="297"/>
      <c r="ES5" s="298"/>
      <c r="ET5" s="296" t="s">
        <v>209</v>
      </c>
      <c r="EU5" s="297"/>
      <c r="EV5" s="297"/>
      <c r="EW5" s="297"/>
      <c r="EX5" s="298"/>
      <c r="EY5" s="296" t="s">
        <v>213</v>
      </c>
      <c r="EZ5" s="297"/>
      <c r="FA5" s="297"/>
      <c r="FB5" s="297"/>
      <c r="FC5" s="298"/>
      <c r="FD5" s="296" t="s">
        <v>214</v>
      </c>
      <c r="FE5" s="297"/>
      <c r="FF5" s="297"/>
      <c r="FG5" s="297"/>
      <c r="FH5" s="298"/>
      <c r="FI5" s="296" t="s">
        <v>215</v>
      </c>
      <c r="FJ5" s="297"/>
      <c r="FK5" s="297"/>
      <c r="FL5" s="297"/>
      <c r="FM5" s="298"/>
      <c r="FN5" s="296" t="s">
        <v>216</v>
      </c>
      <c r="FO5" s="297"/>
      <c r="FP5" s="297"/>
      <c r="FQ5" s="297"/>
      <c r="FR5" s="298"/>
      <c r="FS5" s="296" t="s">
        <v>218</v>
      </c>
      <c r="FT5" s="297"/>
      <c r="FU5" s="297"/>
      <c r="FV5" s="297"/>
      <c r="FW5" s="298"/>
      <c r="FX5" s="296" t="s">
        <v>219</v>
      </c>
      <c r="FY5" s="297"/>
      <c r="FZ5" s="297"/>
      <c r="GA5" s="297"/>
      <c r="GB5" s="298"/>
      <c r="GC5" s="296" t="s">
        <v>220</v>
      </c>
      <c r="GD5" s="297"/>
      <c r="GE5" s="297"/>
      <c r="GF5" s="297"/>
      <c r="GG5" s="298"/>
      <c r="GH5" s="296" t="s">
        <v>221</v>
      </c>
      <c r="GI5" s="297"/>
      <c r="GJ5" s="297"/>
      <c r="GK5" s="297"/>
      <c r="GL5" s="298"/>
      <c r="GM5" s="296" t="s">
        <v>222</v>
      </c>
      <c r="GN5" s="297"/>
      <c r="GO5" s="297"/>
      <c r="GP5" s="297"/>
      <c r="GQ5" s="298"/>
      <c r="GR5" s="296" t="s">
        <v>223</v>
      </c>
      <c r="GS5" s="297"/>
      <c r="GT5" s="297"/>
      <c r="GU5" s="297"/>
      <c r="GV5" s="298"/>
      <c r="GW5" s="296" t="s">
        <v>225</v>
      </c>
      <c r="GX5" s="297"/>
      <c r="GY5" s="297"/>
      <c r="GZ5" s="297"/>
      <c r="HA5" s="298"/>
      <c r="HB5" s="296" t="s">
        <v>226</v>
      </c>
      <c r="HC5" s="297"/>
      <c r="HD5" s="297"/>
      <c r="HE5" s="297"/>
      <c r="HF5" s="298"/>
      <c r="HG5" s="296" t="s">
        <v>227</v>
      </c>
      <c r="HH5" s="297"/>
      <c r="HI5" s="297"/>
      <c r="HJ5" s="297"/>
      <c r="HK5" s="298"/>
      <c r="HL5" s="296" t="s">
        <v>228</v>
      </c>
      <c r="HM5" s="297"/>
      <c r="HN5" s="297"/>
      <c r="HO5" s="297"/>
      <c r="HP5" s="298"/>
    </row>
    <row r="6" spans="2:224" s="8" customFormat="1" ht="22" customHeight="1" x14ac:dyDescent="0.4">
      <c r="B6" s="277" t="s">
        <v>17</v>
      </c>
      <c r="C6" s="279" t="s">
        <v>0</v>
      </c>
      <c r="D6" s="162" t="s">
        <v>119</v>
      </c>
      <c r="E6" s="2" t="s">
        <v>1</v>
      </c>
      <c r="F6" s="4" t="s">
        <v>2</v>
      </c>
      <c r="G6" s="3" t="s">
        <v>15</v>
      </c>
      <c r="H6" s="162" t="s">
        <v>16</v>
      </c>
      <c r="I6" s="165" t="s">
        <v>53</v>
      </c>
      <c r="J6" s="166" t="s">
        <v>36</v>
      </c>
      <c r="K6" s="166" t="s">
        <v>37</v>
      </c>
      <c r="L6" s="166" t="s">
        <v>38</v>
      </c>
      <c r="M6" s="166" t="s">
        <v>39</v>
      </c>
      <c r="N6" s="167" t="s">
        <v>40</v>
      </c>
      <c r="O6" s="165" t="s">
        <v>53</v>
      </c>
      <c r="P6" s="166" t="s">
        <v>36</v>
      </c>
      <c r="Q6" s="166" t="s">
        <v>37</v>
      </c>
      <c r="R6" s="166" t="s">
        <v>39</v>
      </c>
      <c r="S6" s="167" t="s">
        <v>40</v>
      </c>
      <c r="T6" s="165" t="s">
        <v>53</v>
      </c>
      <c r="U6" s="166" t="s">
        <v>36</v>
      </c>
      <c r="V6" s="166" t="s">
        <v>37</v>
      </c>
      <c r="W6" s="166" t="s">
        <v>39</v>
      </c>
      <c r="X6" s="167" t="s">
        <v>40</v>
      </c>
      <c r="Y6" s="165" t="s">
        <v>53</v>
      </c>
      <c r="Z6" s="166" t="s">
        <v>36</v>
      </c>
      <c r="AA6" s="166" t="s">
        <v>37</v>
      </c>
      <c r="AB6" s="166" t="s">
        <v>39</v>
      </c>
      <c r="AC6" s="167" t="s">
        <v>40</v>
      </c>
      <c r="AD6" s="165" t="s">
        <v>53</v>
      </c>
      <c r="AE6" s="166" t="s">
        <v>36</v>
      </c>
      <c r="AF6" s="166" t="s">
        <v>37</v>
      </c>
      <c r="AG6" s="166" t="s">
        <v>39</v>
      </c>
      <c r="AH6" s="167" t="s">
        <v>40</v>
      </c>
      <c r="AI6" s="165" t="s">
        <v>53</v>
      </c>
      <c r="AJ6" s="166" t="s">
        <v>36</v>
      </c>
      <c r="AK6" s="166" t="s">
        <v>37</v>
      </c>
      <c r="AL6" s="166" t="s">
        <v>39</v>
      </c>
      <c r="AM6" s="167" t="s">
        <v>40</v>
      </c>
      <c r="AN6" s="165" t="s">
        <v>53</v>
      </c>
      <c r="AO6" s="166" t="s">
        <v>36</v>
      </c>
      <c r="AP6" s="166" t="s">
        <v>37</v>
      </c>
      <c r="AQ6" s="166" t="s">
        <v>39</v>
      </c>
      <c r="AR6" s="167" t="s">
        <v>40</v>
      </c>
      <c r="AS6" s="165" t="s">
        <v>53</v>
      </c>
      <c r="AT6" s="166" t="s">
        <v>36</v>
      </c>
      <c r="AU6" s="166" t="s">
        <v>37</v>
      </c>
      <c r="AV6" s="166" t="s">
        <v>39</v>
      </c>
      <c r="AW6" s="167" t="s">
        <v>40</v>
      </c>
      <c r="AX6" s="165" t="s">
        <v>53</v>
      </c>
      <c r="AY6" s="166" t="s">
        <v>36</v>
      </c>
      <c r="AZ6" s="166" t="s">
        <v>37</v>
      </c>
      <c r="BA6" s="166" t="s">
        <v>39</v>
      </c>
      <c r="BB6" s="167" t="s">
        <v>40</v>
      </c>
      <c r="BC6" s="165" t="s">
        <v>53</v>
      </c>
      <c r="BD6" s="166" t="s">
        <v>36</v>
      </c>
      <c r="BE6" s="166" t="s">
        <v>37</v>
      </c>
      <c r="BF6" s="166" t="s">
        <v>39</v>
      </c>
      <c r="BG6" s="167" t="s">
        <v>40</v>
      </c>
      <c r="BH6" s="165" t="s">
        <v>53</v>
      </c>
      <c r="BI6" s="166" t="s">
        <v>36</v>
      </c>
      <c r="BJ6" s="166" t="s">
        <v>37</v>
      </c>
      <c r="BK6" s="166" t="s">
        <v>39</v>
      </c>
      <c r="BL6" s="167" t="s">
        <v>40</v>
      </c>
      <c r="BM6" s="165" t="s">
        <v>53</v>
      </c>
      <c r="BN6" s="166" t="s">
        <v>36</v>
      </c>
      <c r="BO6" s="166" t="s">
        <v>37</v>
      </c>
      <c r="BP6" s="166" t="s">
        <v>39</v>
      </c>
      <c r="BQ6" s="167" t="s">
        <v>40</v>
      </c>
      <c r="BR6" s="165" t="s">
        <v>53</v>
      </c>
      <c r="BS6" s="166" t="s">
        <v>36</v>
      </c>
      <c r="BT6" s="166" t="s">
        <v>37</v>
      </c>
      <c r="BU6" s="166" t="s">
        <v>39</v>
      </c>
      <c r="BV6" s="167" t="s">
        <v>40</v>
      </c>
      <c r="BW6" s="165" t="s">
        <v>53</v>
      </c>
      <c r="BX6" s="166" t="s">
        <v>36</v>
      </c>
      <c r="BY6" s="166" t="s">
        <v>37</v>
      </c>
      <c r="BZ6" s="166" t="s">
        <v>39</v>
      </c>
      <c r="CA6" s="167" t="s">
        <v>40</v>
      </c>
      <c r="CB6" s="165" t="s">
        <v>53</v>
      </c>
      <c r="CC6" s="166" t="s">
        <v>36</v>
      </c>
      <c r="CD6" s="166" t="s">
        <v>37</v>
      </c>
      <c r="CE6" s="166" t="s">
        <v>39</v>
      </c>
      <c r="CF6" s="167" t="s">
        <v>40</v>
      </c>
      <c r="CG6" s="165" t="s">
        <v>53</v>
      </c>
      <c r="CH6" s="166" t="s">
        <v>36</v>
      </c>
      <c r="CI6" s="166" t="s">
        <v>37</v>
      </c>
      <c r="CJ6" s="166" t="s">
        <v>39</v>
      </c>
      <c r="CK6" s="167" t="s">
        <v>40</v>
      </c>
      <c r="CL6" s="165" t="s">
        <v>53</v>
      </c>
      <c r="CM6" s="166" t="s">
        <v>36</v>
      </c>
      <c r="CN6" s="166" t="s">
        <v>37</v>
      </c>
      <c r="CO6" s="166" t="s">
        <v>39</v>
      </c>
      <c r="CP6" s="167" t="s">
        <v>40</v>
      </c>
      <c r="CQ6" s="165" t="s">
        <v>53</v>
      </c>
      <c r="CR6" s="166" t="s">
        <v>36</v>
      </c>
      <c r="CS6" s="166" t="s">
        <v>37</v>
      </c>
      <c r="CT6" s="166" t="s">
        <v>39</v>
      </c>
      <c r="CU6" s="167" t="s">
        <v>40</v>
      </c>
      <c r="CV6" s="165" t="s">
        <v>53</v>
      </c>
      <c r="CW6" s="166" t="s">
        <v>36</v>
      </c>
      <c r="CX6" s="166" t="s">
        <v>37</v>
      </c>
      <c r="CY6" s="166" t="s">
        <v>39</v>
      </c>
      <c r="CZ6" s="167" t="s">
        <v>40</v>
      </c>
      <c r="DA6" s="165" t="s">
        <v>53</v>
      </c>
      <c r="DB6" s="166" t="s">
        <v>36</v>
      </c>
      <c r="DC6" s="166" t="s">
        <v>37</v>
      </c>
      <c r="DD6" s="166" t="s">
        <v>39</v>
      </c>
      <c r="DE6" s="167" t="s">
        <v>40</v>
      </c>
      <c r="DF6" s="165" t="s">
        <v>53</v>
      </c>
      <c r="DG6" s="166" t="s">
        <v>36</v>
      </c>
      <c r="DH6" s="166" t="s">
        <v>37</v>
      </c>
      <c r="DI6" s="166" t="s">
        <v>39</v>
      </c>
      <c r="DJ6" s="167" t="s">
        <v>40</v>
      </c>
      <c r="DK6" s="165" t="s">
        <v>53</v>
      </c>
      <c r="DL6" s="166" t="s">
        <v>36</v>
      </c>
      <c r="DM6" s="166" t="s">
        <v>37</v>
      </c>
      <c r="DN6" s="166" t="s">
        <v>39</v>
      </c>
      <c r="DO6" s="167" t="s">
        <v>40</v>
      </c>
      <c r="DP6" s="165" t="s">
        <v>53</v>
      </c>
      <c r="DQ6" s="166" t="s">
        <v>36</v>
      </c>
      <c r="DR6" s="166" t="s">
        <v>37</v>
      </c>
      <c r="DS6" s="166" t="s">
        <v>39</v>
      </c>
      <c r="DT6" s="167" t="s">
        <v>40</v>
      </c>
      <c r="DU6" s="165" t="s">
        <v>53</v>
      </c>
      <c r="DV6" s="166" t="s">
        <v>36</v>
      </c>
      <c r="DW6" s="166" t="s">
        <v>37</v>
      </c>
      <c r="DX6" s="166" t="s">
        <v>39</v>
      </c>
      <c r="DY6" s="167" t="s">
        <v>40</v>
      </c>
      <c r="DZ6" s="165" t="s">
        <v>53</v>
      </c>
      <c r="EA6" s="166" t="s">
        <v>36</v>
      </c>
      <c r="EB6" s="166" t="s">
        <v>37</v>
      </c>
      <c r="EC6" s="166" t="s">
        <v>39</v>
      </c>
      <c r="ED6" s="167" t="s">
        <v>40</v>
      </c>
      <c r="EE6" s="165" t="s">
        <v>53</v>
      </c>
      <c r="EF6" s="166" t="s">
        <v>36</v>
      </c>
      <c r="EG6" s="166" t="s">
        <v>37</v>
      </c>
      <c r="EH6" s="166" t="s">
        <v>39</v>
      </c>
      <c r="EI6" s="167" t="s">
        <v>40</v>
      </c>
      <c r="EJ6" s="165" t="s">
        <v>53</v>
      </c>
      <c r="EK6" s="166" t="s">
        <v>36</v>
      </c>
      <c r="EL6" s="166" t="s">
        <v>37</v>
      </c>
      <c r="EM6" s="166" t="s">
        <v>39</v>
      </c>
      <c r="EN6" s="167" t="s">
        <v>40</v>
      </c>
      <c r="EO6" s="165" t="s">
        <v>53</v>
      </c>
      <c r="EP6" s="166" t="s">
        <v>36</v>
      </c>
      <c r="EQ6" s="166" t="s">
        <v>37</v>
      </c>
      <c r="ER6" s="166" t="s">
        <v>39</v>
      </c>
      <c r="ES6" s="167" t="s">
        <v>40</v>
      </c>
      <c r="ET6" s="165" t="s">
        <v>53</v>
      </c>
      <c r="EU6" s="166" t="s">
        <v>36</v>
      </c>
      <c r="EV6" s="166" t="s">
        <v>37</v>
      </c>
      <c r="EW6" s="166" t="s">
        <v>39</v>
      </c>
      <c r="EX6" s="167" t="s">
        <v>40</v>
      </c>
      <c r="EY6" s="165" t="s">
        <v>53</v>
      </c>
      <c r="EZ6" s="166" t="s">
        <v>36</v>
      </c>
      <c r="FA6" s="166" t="s">
        <v>37</v>
      </c>
      <c r="FB6" s="166" t="s">
        <v>39</v>
      </c>
      <c r="FC6" s="167" t="s">
        <v>40</v>
      </c>
      <c r="FD6" s="165" t="s">
        <v>53</v>
      </c>
      <c r="FE6" s="166" t="s">
        <v>36</v>
      </c>
      <c r="FF6" s="166" t="s">
        <v>37</v>
      </c>
      <c r="FG6" s="166" t="s">
        <v>39</v>
      </c>
      <c r="FH6" s="167" t="s">
        <v>40</v>
      </c>
      <c r="FI6" s="165" t="s">
        <v>53</v>
      </c>
      <c r="FJ6" s="166" t="s">
        <v>36</v>
      </c>
      <c r="FK6" s="166" t="s">
        <v>37</v>
      </c>
      <c r="FL6" s="166" t="s">
        <v>39</v>
      </c>
      <c r="FM6" s="167" t="s">
        <v>40</v>
      </c>
      <c r="FN6" s="165" t="s">
        <v>53</v>
      </c>
      <c r="FO6" s="166" t="s">
        <v>36</v>
      </c>
      <c r="FP6" s="166" t="s">
        <v>37</v>
      </c>
      <c r="FQ6" s="166" t="s">
        <v>39</v>
      </c>
      <c r="FR6" s="167" t="s">
        <v>40</v>
      </c>
      <c r="FS6" s="165" t="s">
        <v>53</v>
      </c>
      <c r="FT6" s="166" t="s">
        <v>36</v>
      </c>
      <c r="FU6" s="166" t="s">
        <v>37</v>
      </c>
      <c r="FV6" s="166" t="s">
        <v>39</v>
      </c>
      <c r="FW6" s="167" t="s">
        <v>40</v>
      </c>
      <c r="FX6" s="165" t="s">
        <v>53</v>
      </c>
      <c r="FY6" s="166" t="s">
        <v>36</v>
      </c>
      <c r="FZ6" s="166" t="s">
        <v>37</v>
      </c>
      <c r="GA6" s="166" t="s">
        <v>39</v>
      </c>
      <c r="GB6" s="167" t="s">
        <v>40</v>
      </c>
      <c r="GC6" s="165" t="s">
        <v>53</v>
      </c>
      <c r="GD6" s="166" t="s">
        <v>36</v>
      </c>
      <c r="GE6" s="166" t="s">
        <v>37</v>
      </c>
      <c r="GF6" s="166" t="s">
        <v>39</v>
      </c>
      <c r="GG6" s="167" t="s">
        <v>40</v>
      </c>
      <c r="GH6" s="165" t="s">
        <v>53</v>
      </c>
      <c r="GI6" s="166" t="s">
        <v>36</v>
      </c>
      <c r="GJ6" s="166" t="s">
        <v>37</v>
      </c>
      <c r="GK6" s="166" t="s">
        <v>39</v>
      </c>
      <c r="GL6" s="167" t="s">
        <v>40</v>
      </c>
      <c r="GM6" s="165" t="s">
        <v>53</v>
      </c>
      <c r="GN6" s="166" t="s">
        <v>36</v>
      </c>
      <c r="GO6" s="166" t="s">
        <v>37</v>
      </c>
      <c r="GP6" s="166" t="s">
        <v>39</v>
      </c>
      <c r="GQ6" s="167" t="s">
        <v>40</v>
      </c>
      <c r="GR6" s="165" t="s">
        <v>53</v>
      </c>
      <c r="GS6" s="166" t="s">
        <v>36</v>
      </c>
      <c r="GT6" s="166" t="s">
        <v>37</v>
      </c>
      <c r="GU6" s="166" t="s">
        <v>39</v>
      </c>
      <c r="GV6" s="167" t="s">
        <v>40</v>
      </c>
      <c r="GW6" s="165" t="s">
        <v>53</v>
      </c>
      <c r="GX6" s="166" t="s">
        <v>36</v>
      </c>
      <c r="GY6" s="166" t="s">
        <v>37</v>
      </c>
      <c r="GZ6" s="166" t="s">
        <v>39</v>
      </c>
      <c r="HA6" s="167" t="s">
        <v>40</v>
      </c>
      <c r="HB6" s="165" t="s">
        <v>53</v>
      </c>
      <c r="HC6" s="166" t="s">
        <v>36</v>
      </c>
      <c r="HD6" s="166" t="s">
        <v>37</v>
      </c>
      <c r="HE6" s="166" t="s">
        <v>39</v>
      </c>
      <c r="HF6" s="167" t="s">
        <v>40</v>
      </c>
      <c r="HG6" s="165" t="s">
        <v>53</v>
      </c>
      <c r="HH6" s="166" t="s">
        <v>36</v>
      </c>
      <c r="HI6" s="166" t="s">
        <v>37</v>
      </c>
      <c r="HJ6" s="166" t="s">
        <v>39</v>
      </c>
      <c r="HK6" s="167" t="s">
        <v>40</v>
      </c>
      <c r="HL6" s="165" t="s">
        <v>53</v>
      </c>
      <c r="HM6" s="166" t="s">
        <v>36</v>
      </c>
      <c r="HN6" s="166" t="s">
        <v>37</v>
      </c>
      <c r="HO6" s="166" t="s">
        <v>39</v>
      </c>
      <c r="HP6" s="167" t="s">
        <v>40</v>
      </c>
    </row>
    <row r="7" spans="2:224" s="5" customFormat="1" ht="18" customHeight="1" x14ac:dyDescent="0.45">
      <c r="B7" s="282">
        <v>1</v>
      </c>
      <c r="C7" s="280" t="s">
        <v>3</v>
      </c>
      <c r="D7" s="172" t="s">
        <v>120</v>
      </c>
      <c r="E7" s="11">
        <v>1068</v>
      </c>
      <c r="F7" s="12">
        <v>986245</v>
      </c>
      <c r="G7" s="170">
        <f>(F7/$F$19)</f>
        <v>0.52256152613642148</v>
      </c>
      <c r="H7" s="168">
        <v>12.17</v>
      </c>
      <c r="I7" s="13">
        <v>973.6</v>
      </c>
      <c r="J7" s="38">
        <f>(I7-E7)/E7</f>
        <v>-8.8389513108614218E-2</v>
      </c>
      <c r="K7" s="14">
        <f>G7*J7</f>
        <v>-4.6188958864492681E-2</v>
      </c>
      <c r="L7" s="15">
        <f>F7/E7</f>
        <v>923.45037453183522</v>
      </c>
      <c r="M7" s="16">
        <f>L7*I7</f>
        <v>899071.28464419476</v>
      </c>
      <c r="N7" s="17">
        <f>(M7/$M$19)</f>
        <v>0.50234922477053423</v>
      </c>
      <c r="O7" s="13">
        <v>974.6</v>
      </c>
      <c r="P7" s="38">
        <f t="shared" ref="P7:P18" si="0">(O7-I7)/I7</f>
        <v>1.0271158586688579E-3</v>
      </c>
      <c r="Q7" s="14">
        <f t="shared" ref="Q7:Q18" si="1">N7*P7</f>
        <v>5.1597085535182239E-4</v>
      </c>
      <c r="R7" s="15">
        <f t="shared" ref="R7:R18" si="2">O7*L7</f>
        <v>899994.73501872667</v>
      </c>
      <c r="S7" s="34">
        <f>R7/$R$19</f>
        <v>0.50730023846088512</v>
      </c>
      <c r="T7" s="13">
        <v>970.45</v>
      </c>
      <c r="U7" s="38">
        <f t="shared" ref="U7:U18" si="3">(T7-O7)/O7</f>
        <v>-4.2581571926944154E-3</v>
      </c>
      <c r="V7" s="14">
        <f t="shared" ref="V7:V18" si="4">U7*S7</f>
        <v>-2.1601641592578101E-3</v>
      </c>
      <c r="W7" s="15">
        <f>T7*$L7</f>
        <v>896162.41596441949</v>
      </c>
      <c r="X7" s="34">
        <f>W7/$W$19</f>
        <v>0.50592414034088251</v>
      </c>
      <c r="Y7" s="13">
        <v>979.9</v>
      </c>
      <c r="Z7" s="38">
        <f t="shared" ref="Z7:Z18" si="5">(Y7-T7)/T7</f>
        <v>9.7377505281054481E-3</v>
      </c>
      <c r="AA7" s="14">
        <f>Z7*X7</f>
        <v>4.9265630647857238E-3</v>
      </c>
      <c r="AB7" s="15">
        <f>Y7*$L7</f>
        <v>904889.02200374531</v>
      </c>
      <c r="AC7" s="34">
        <f>AB7/$AB$19</f>
        <v>0.50502142933991001</v>
      </c>
      <c r="AD7" s="13">
        <v>963.2</v>
      </c>
      <c r="AE7" s="38">
        <f t="shared" ref="AE7:AE18" si="6">(AD7-Y7)/Y7</f>
        <v>-1.7042555362792051E-2</v>
      </c>
      <c r="AF7" s="14">
        <f t="shared" ref="AF7:AF18" si="7">AE7*AC7</f>
        <v>-8.6068556689217895E-3</v>
      </c>
      <c r="AG7" s="15">
        <f>AD7*$L7</f>
        <v>889467.4007490637</v>
      </c>
      <c r="AH7" s="34">
        <f>AG7/$AG$19</f>
        <v>0.50492384494667697</v>
      </c>
      <c r="AI7" s="13">
        <v>939.4</v>
      </c>
      <c r="AJ7" s="38">
        <f t="shared" ref="AJ7:AJ18" si="8">(AI7-AD7)/AD7</f>
        <v>-2.4709302325581464E-2</v>
      </c>
      <c r="AK7" s="14">
        <f t="shared" ref="AK7:AK18" si="9">AJ7*AH7</f>
        <v>-1.247631593618246E-2</v>
      </c>
      <c r="AL7" s="15">
        <f>AI7*$L7</f>
        <v>867489.28183520597</v>
      </c>
      <c r="AM7" s="34">
        <f>AL7/$AL$19</f>
        <v>0.50275625506999633</v>
      </c>
      <c r="AN7" s="13">
        <v>948.8</v>
      </c>
      <c r="AO7" s="38">
        <f>(AN7-AI7)/AI7</f>
        <v>1.000638705556736E-2</v>
      </c>
      <c r="AP7" s="14">
        <f t="shared" ref="AP7:AP18" si="10">AO7*AM7</f>
        <v>5.0307736828379334E-3</v>
      </c>
      <c r="AQ7" s="15">
        <f>AN7*$L7</f>
        <v>876169.71535580524</v>
      </c>
      <c r="AR7" s="34">
        <f>AQ7/$AQ$19</f>
        <v>0.50248693223835128</v>
      </c>
      <c r="AS7" s="13">
        <v>950.9</v>
      </c>
      <c r="AT7" s="38">
        <f t="shared" ref="AT7:AT18" si="11">(AS7-AN7)/AN7</f>
        <v>2.2133220910624187E-3</v>
      </c>
      <c r="AU7" s="14">
        <f t="shared" ref="AU7:AU18" si="12">AT7*AR7</f>
        <v>1.1121654275933275E-3</v>
      </c>
      <c r="AV7" s="15">
        <f>AS7*$L7</f>
        <v>878108.96114232205</v>
      </c>
      <c r="AW7" s="34">
        <f>AV7/$AV$19</f>
        <v>0.50323620981664674</v>
      </c>
      <c r="AX7" s="13">
        <v>950.9</v>
      </c>
      <c r="AY7" s="38">
        <f t="shared" ref="AY7:AY18" si="13">(AX7-AS7)/AS7</f>
        <v>0</v>
      </c>
      <c r="AZ7" s="14">
        <f t="shared" ref="AZ7:AZ18" si="14">AY7*AW7</f>
        <v>0</v>
      </c>
      <c r="BA7" s="15">
        <f>AX7*$L7</f>
        <v>878108.96114232205</v>
      </c>
      <c r="BB7" s="34">
        <f>BA7/$BA$19</f>
        <v>0.50210583447701063</v>
      </c>
      <c r="BC7" s="13">
        <v>949.2</v>
      </c>
      <c r="BD7" s="38">
        <f t="shared" ref="BD7:BD18" si="15">(BC7-AX7)/AX7</f>
        <v>-1.7877799978966576E-3</v>
      </c>
      <c r="BE7" s="14">
        <f t="shared" ref="BE7:BE18" si="16">BD7*BB7</f>
        <v>-8.9765476770520963E-4</v>
      </c>
      <c r="BF7" s="15">
        <f>BC7*$L7</f>
        <v>876539.09550561802</v>
      </c>
      <c r="BG7" s="34">
        <f>BF7/$BF$19</f>
        <v>0.50146097205224072</v>
      </c>
      <c r="BH7" s="13">
        <v>969.6</v>
      </c>
      <c r="BI7" s="38">
        <f t="shared" ref="BI7:BI18" si="17">(BH7-BC7)/BC7</f>
        <v>2.1491782553729431E-2</v>
      </c>
      <c r="BJ7" s="14">
        <f t="shared" ref="BJ7:BJ18" si="18">BI7*BG7</f>
        <v>1.077729017052855E-2</v>
      </c>
      <c r="BK7" s="15">
        <f>BH7*$L7</f>
        <v>895377.48314606748</v>
      </c>
      <c r="BL7" s="34">
        <f>BK7/$BK$19</f>
        <v>0.49937825964224053</v>
      </c>
      <c r="BM7" s="13">
        <v>968.6</v>
      </c>
      <c r="BN7" s="38">
        <f t="shared" ref="BN7:BN18" si="19">(BM7-BH7)/BH7</f>
        <v>-1.0313531353135313E-3</v>
      </c>
      <c r="BO7" s="14">
        <f t="shared" ref="BO7:BO11" si="20">BN7*BL7</f>
        <v>-5.150353337894394E-4</v>
      </c>
      <c r="BP7" s="15">
        <f>BM7*$L7</f>
        <v>894454.03277153557</v>
      </c>
      <c r="BQ7" s="34">
        <f>BP7/$BP$19</f>
        <v>0.50046483531088615</v>
      </c>
      <c r="BR7" s="13">
        <v>967.8</v>
      </c>
      <c r="BS7" s="38">
        <f>(BR7-BM7)/BM7</f>
        <v>-8.2593433822018185E-4</v>
      </c>
      <c r="BT7" s="14">
        <f>BS7*BQ7</f>
        <v>-4.1335109255496907E-4</v>
      </c>
      <c r="BU7" s="15">
        <f>BR7*$L7</f>
        <v>893715.27247191011</v>
      </c>
      <c r="BV7" s="34">
        <f>BU7/$BU$19</f>
        <v>0.49919924830811685</v>
      </c>
      <c r="BW7" s="13">
        <v>964.4</v>
      </c>
      <c r="BX7" s="38">
        <f>(BW7-BR7)/BR7</f>
        <v>-3.5131225459805512E-3</v>
      </c>
      <c r="BY7" s="14">
        <f>BX7*BV7</f>
        <v>-1.7537481341677887E-3</v>
      </c>
      <c r="BZ7" s="15">
        <f>BW7*$L7</f>
        <v>890575.54119850183</v>
      </c>
      <c r="CA7" s="34">
        <f>BZ7/$BZ$19</f>
        <v>0.501447426981522</v>
      </c>
      <c r="CB7" s="13">
        <v>954.1</v>
      </c>
      <c r="CC7" s="38">
        <f>(CB7-BW7)/BW7</f>
        <v>-1.0680215678141803E-2</v>
      </c>
      <c r="CD7" s="14">
        <f>CC7*CA7</f>
        <v>-5.3555666714119182E-3</v>
      </c>
      <c r="CE7" s="15">
        <f>CB7*$L7</f>
        <v>881064.00234082399</v>
      </c>
      <c r="CF7" s="34">
        <f>CE7/$CE$19</f>
        <v>0.5042242335506566</v>
      </c>
      <c r="CG7" s="13">
        <v>956.65</v>
      </c>
      <c r="CH7" s="38">
        <f>(CG7-CB7)/CB7</f>
        <v>2.6726758201445914E-3</v>
      </c>
      <c r="CI7" s="14">
        <f>CH7*CF7</f>
        <v>1.3476279169417791E-3</v>
      </c>
      <c r="CJ7" s="15">
        <f>CG7*$L7</f>
        <v>883418.80079588015</v>
      </c>
      <c r="CK7" s="34">
        <f>CJ7/$CJ$19</f>
        <v>0.49931445752973469</v>
      </c>
      <c r="CL7" s="13">
        <v>954.1</v>
      </c>
      <c r="CM7" s="38">
        <f>(CL7-CG7)/CG7</f>
        <v>-2.6655516646631001E-3</v>
      </c>
      <c r="CN7" s="14">
        <f>CM7*CK7</f>
        <v>-1.330948483458737E-3</v>
      </c>
      <c r="CO7" s="15">
        <f>CL7*$L7</f>
        <v>881064.00234082399</v>
      </c>
      <c r="CP7" s="34">
        <f>CO7/$CO$19</f>
        <v>0.49860177233008135</v>
      </c>
      <c r="CQ7" s="13">
        <v>979.25</v>
      </c>
      <c r="CR7" s="38">
        <f>(CQ7-CL7)/CL7</f>
        <v>2.6359920343779455E-2</v>
      </c>
      <c r="CS7" s="14">
        <f>CR7*CP7</f>
        <v>1.3143103001888203E-2</v>
      </c>
      <c r="CT7" s="15">
        <f>CQ7*$L7</f>
        <v>904288.77926029963</v>
      </c>
      <c r="CU7" s="34">
        <f t="shared" ref="CU7:CU11" si="21">CT7/$CT$19</f>
        <v>0.50412026461627779</v>
      </c>
      <c r="CV7" s="13">
        <v>978</v>
      </c>
      <c r="CW7" s="38">
        <f>(CV7-CQ7)/CQ7</f>
        <v>-1.2764871074802144E-3</v>
      </c>
      <c r="CX7" s="14">
        <f>CW7*CW7</f>
        <v>1.6294193355632044E-6</v>
      </c>
      <c r="CY7" s="15">
        <f>CV7*$L7</f>
        <v>903134.46629213484</v>
      </c>
      <c r="CZ7" s="34">
        <f>CY7/$CY$19</f>
        <v>0.50417757331300461</v>
      </c>
      <c r="DA7" s="13">
        <v>981.95</v>
      </c>
      <c r="DB7" s="38">
        <f>(DA7-CV7)/CV7</f>
        <v>4.0388548057260177E-3</v>
      </c>
      <c r="DC7" s="14">
        <f>DB7*CZ7</f>
        <v>2.0363000149145102E-3</v>
      </c>
      <c r="DD7" s="15">
        <f>DA7*$L7</f>
        <v>906782.09527153568</v>
      </c>
      <c r="DE7" s="34">
        <f>DD7/$DD$19</f>
        <v>0.50794075160960084</v>
      </c>
      <c r="DF7" s="13">
        <v>1002.7</v>
      </c>
      <c r="DG7" s="38">
        <f>(DF7-DA7)/DA7</f>
        <v>2.1131422170171596E-2</v>
      </c>
      <c r="DH7" s="14">
        <f>DG7*DE7</f>
        <v>1.0733510459696742E-2</v>
      </c>
      <c r="DI7" s="15">
        <f>DF7*$L7</f>
        <v>925943.69054307125</v>
      </c>
      <c r="DJ7" s="34">
        <f>DI7/$DI$19</f>
        <v>0.50305785663889802</v>
      </c>
      <c r="DK7" s="13">
        <v>1003.25</v>
      </c>
      <c r="DL7" s="38">
        <f>(DK7-DF7)/DF7</f>
        <v>5.4851899870345512E-4</v>
      </c>
      <c r="DM7" s="14">
        <f>DL7*DJ7</f>
        <v>2.7593679181347461E-4</v>
      </c>
      <c r="DN7" s="15">
        <f>DK7*$L7</f>
        <v>926451.5882490637</v>
      </c>
      <c r="DO7" s="34">
        <f>DN7/$DN$19</f>
        <v>0.50859774752452402</v>
      </c>
      <c r="DP7" s="13">
        <v>1000.7</v>
      </c>
      <c r="DQ7" s="38">
        <f>(DP7-DK7)/DK7</f>
        <v>-2.5417393471218086E-3</v>
      </c>
      <c r="DR7" s="14">
        <f>DQ7*DO7</f>
        <v>-1.292722906740606E-3</v>
      </c>
      <c r="DS7" s="15">
        <f>DP7*$L7</f>
        <v>924096.78979400755</v>
      </c>
      <c r="DT7" s="34">
        <f>DS7/$DS$19</f>
        <v>0.51123714589280222</v>
      </c>
      <c r="DU7" s="13">
        <v>1017.15</v>
      </c>
      <c r="DV7" s="38">
        <f>(DU7-DP7)/DP7</f>
        <v>1.6438493054861527E-2</v>
      </c>
      <c r="DW7" s="14">
        <f>DV7*DV7</f>
        <v>2.7022405391473065E-4</v>
      </c>
      <c r="DX7" s="15">
        <f>DU7*$L7</f>
        <v>939287.54845505615</v>
      </c>
      <c r="DY7" s="34">
        <f>DX7/$DX$19</f>
        <v>0.5096491010222165</v>
      </c>
      <c r="DZ7" s="13">
        <v>1020.85</v>
      </c>
      <c r="EA7" s="38">
        <f>(DZ7-DU7)/DU7</f>
        <v>3.6376149043897609E-3</v>
      </c>
      <c r="EB7" s="14">
        <f>EA7*DY7</f>
        <v>1.8539071658872576E-3</v>
      </c>
      <c r="EC7" s="15">
        <f>DZ7*$L7</f>
        <v>942704.31484082399</v>
      </c>
      <c r="ED7" s="34">
        <f>EC7/$EC$19</f>
        <v>0.50850706378074118</v>
      </c>
      <c r="EE7" s="13">
        <v>1015.3</v>
      </c>
      <c r="EF7" s="38">
        <f>(EE7-DZ7)/DZ7</f>
        <v>-5.436645932311376E-3</v>
      </c>
      <c r="EG7" s="14">
        <f>EF7*ED7</f>
        <v>-2.7645728598551678E-3</v>
      </c>
      <c r="EH7" s="15">
        <f>EE7*$L7</f>
        <v>937579.16526217223</v>
      </c>
      <c r="EI7" s="34">
        <f>EH7/$EH$19</f>
        <v>0.507186436537573</v>
      </c>
      <c r="EJ7" s="13">
        <v>1026.5</v>
      </c>
      <c r="EK7" s="38">
        <f>(EJ7-EE7)/EE7</f>
        <v>1.1031222298827978E-2</v>
      </c>
      <c r="EL7" s="14">
        <f>EK7*EI7</f>
        <v>5.5948863283963764E-3</v>
      </c>
      <c r="EM7" s="15">
        <f>EJ7*$L7</f>
        <v>947921.80945692887</v>
      </c>
      <c r="EN7" s="34">
        <f>EM7/$EM$19</f>
        <v>0.50386614634142113</v>
      </c>
      <c r="EO7" s="13">
        <v>1042.7</v>
      </c>
      <c r="EP7" s="38">
        <f>(EO7-EJ7)/EJ7</f>
        <v>1.5781782756941105E-2</v>
      </c>
      <c r="EQ7" s="14">
        <f>EP7*EN7</f>
        <v>7.9519060601374036E-3</v>
      </c>
      <c r="ER7" s="15">
        <f>EO7*$L7</f>
        <v>962881.70552434458</v>
      </c>
      <c r="ES7" s="34">
        <f>ER7/$ER$19</f>
        <v>0.50757381433619875</v>
      </c>
      <c r="ET7" s="13">
        <v>1035.0999999999999</v>
      </c>
      <c r="EU7" s="38">
        <f>(ET7-EO7)/EO7</f>
        <v>-7.2887695406158399E-3</v>
      </c>
      <c r="EV7" s="14">
        <f>EU7*EU7</f>
        <v>5.3126161416209242E-5</v>
      </c>
      <c r="EW7" s="15">
        <f>ET7*$L7</f>
        <v>955863.48267790256</v>
      </c>
      <c r="EX7" s="34">
        <f>EW7/$EW$19</f>
        <v>0.50709838941769037</v>
      </c>
      <c r="EY7" s="13">
        <v>1040.75</v>
      </c>
      <c r="EZ7" s="38">
        <f>(EY7-ET7)/ET7</f>
        <v>5.4584098154768536E-3</v>
      </c>
      <c r="FA7" s="14">
        <f>EZ7*EX7</f>
        <v>2.7679508262100248E-3</v>
      </c>
      <c r="FB7" s="15">
        <f>EY7*$L7</f>
        <v>961080.97729400755</v>
      </c>
      <c r="FC7" s="34">
        <f>FB7/$FB$19</f>
        <v>0.50736996388112943</v>
      </c>
      <c r="FD7" s="13">
        <v>1024.2</v>
      </c>
      <c r="FE7" s="38">
        <f>(FD7-EY7)/EY7</f>
        <v>-1.5901993754503921E-2</v>
      </c>
      <c r="FF7" s="14">
        <f>FE7*FC7</f>
        <v>-8.0681939968606006E-3</v>
      </c>
      <c r="FG7" s="15">
        <f>FD7*$L7</f>
        <v>945797.87359550572</v>
      </c>
      <c r="FH7" s="34">
        <f>FG7/$FG$19</f>
        <v>0.50835858513965504</v>
      </c>
      <c r="FI7" s="13">
        <v>1034.5999999999999</v>
      </c>
      <c r="FJ7" s="38">
        <f>(FI7-FD7)/FD7</f>
        <v>1.0154266744776277E-2</v>
      </c>
      <c r="FK7" s="14">
        <f>FJ7*FH7</f>
        <v>5.1620086755051189E-3</v>
      </c>
      <c r="FL7" s="15">
        <f>FI7*$L7</f>
        <v>955401.75749063666</v>
      </c>
      <c r="FM7" s="34">
        <f>FL7/$FL$19</f>
        <v>0.5105263741025331</v>
      </c>
      <c r="FN7" s="13">
        <v>1045</v>
      </c>
      <c r="FO7" s="38">
        <f>(FN7-FI7)/FI7</f>
        <v>1.0052194084670493E-2</v>
      </c>
      <c r="FP7" s="14">
        <f>FO7*FM7</f>
        <v>5.1319101978217589E-3</v>
      </c>
      <c r="FQ7" s="15">
        <f>FN7*$L7</f>
        <v>965005.64138576784</v>
      </c>
      <c r="FR7" s="34">
        <f>FQ7/$FQ$19</f>
        <v>0.5140606488693763</v>
      </c>
      <c r="FS7" s="13">
        <v>1036.0999999999999</v>
      </c>
      <c r="FT7" s="38">
        <f>(FS7-FN7)/FN7</f>
        <v>-8.5167464114833408E-3</v>
      </c>
      <c r="FU7" s="14">
        <f>FT7*FR7</f>
        <v>-4.3781241865430585E-3</v>
      </c>
      <c r="FV7" s="15">
        <f>FS7*$L7</f>
        <v>956786.93305243435</v>
      </c>
      <c r="FW7" s="34">
        <f>FV7/$FQ$19</f>
        <v>0.50968252468283326</v>
      </c>
      <c r="FX7" s="13">
        <v>1026.9000000000001</v>
      </c>
      <c r="FY7" s="38">
        <f>(FX7-FS7)/FS7</f>
        <v>-8.8794517903675509E-3</v>
      </c>
      <c r="FZ7" s="14">
        <f>FY7*FW7</f>
        <v>-4.5257014063140371E-3</v>
      </c>
      <c r="GA7" s="15">
        <f>FX7*$L7</f>
        <v>948291.18960674165</v>
      </c>
      <c r="GB7" s="34">
        <f>GA7/$GA$19</f>
        <v>0.51328813582314226</v>
      </c>
      <c r="GC7" s="13">
        <v>1047.4000000000001</v>
      </c>
      <c r="GD7" s="38">
        <f>(GC7-FX7)/FX7</f>
        <v>1.9962995423118121E-2</v>
      </c>
      <c r="GE7" s="14">
        <f>GD7*GB7</f>
        <v>1.0246768706178222E-2</v>
      </c>
      <c r="GF7" s="15">
        <f>GC7*$L7</f>
        <v>967221.92228464433</v>
      </c>
      <c r="GG7" s="34">
        <f>GF7/$GF$19</f>
        <v>0.51966886879356311</v>
      </c>
      <c r="GH7" s="13">
        <v>1051.5999999999999</v>
      </c>
      <c r="GI7" s="38">
        <f>(GH7-GC7)/GC7</f>
        <v>4.009929348863679E-3</v>
      </c>
      <c r="GJ7" s="14">
        <f>GI7*GG7</f>
        <v>2.0838354486660974E-3</v>
      </c>
      <c r="GK7" s="15">
        <f>GH7*$L7</f>
        <v>971100.41385767784</v>
      </c>
      <c r="GL7" s="34">
        <f>GK7/$GK$19</f>
        <v>0.52077715687472659</v>
      </c>
      <c r="GM7" s="13">
        <v>1040</v>
      </c>
      <c r="GN7" s="38">
        <f>(GM7-GH7)/GH7</f>
        <v>-1.1030810193990024E-2</v>
      </c>
      <c r="GO7" s="14">
        <f>GN7*GN7</f>
        <v>1.2167877353583423E-4</v>
      </c>
      <c r="GP7" s="15">
        <f>GM7*$L7</f>
        <v>960388.38951310865</v>
      </c>
      <c r="GQ7" s="34">
        <f>GP7/$GP$19</f>
        <v>0.52245498858731287</v>
      </c>
      <c r="GR7" s="13">
        <v>1037.7</v>
      </c>
      <c r="GS7" s="38">
        <f>(GR7-GM7)/GM7</f>
        <v>-2.2115384615384176E-3</v>
      </c>
      <c r="GT7" s="14">
        <f>GS7*GQ7</f>
        <v>-1.1554293016834574E-3</v>
      </c>
      <c r="GU7" s="15">
        <f>GR7*$L7</f>
        <v>958264.4536516855</v>
      </c>
      <c r="GV7" s="34">
        <f>GU7/$GU$19</f>
        <v>0.52429642039230251</v>
      </c>
      <c r="GW7" s="13">
        <v>1038.0999999999999</v>
      </c>
      <c r="GX7" s="38">
        <f>(GW7-GR7)/GR7</f>
        <v>3.854678616169062E-4</v>
      </c>
      <c r="GY7" s="14">
        <f>GX7*GV7</f>
        <v>2.0209942002201935E-4</v>
      </c>
      <c r="GZ7" s="15">
        <f>GW7*$L7</f>
        <v>958633.83380149805</v>
      </c>
      <c r="HA7" s="34">
        <f>GZ7/$GZ$19</f>
        <v>0.52596205946309327</v>
      </c>
      <c r="HB7" s="13">
        <v>1016.9</v>
      </c>
      <c r="HC7" s="38">
        <f>(HB7-GW7)/GW7</f>
        <v>-2.0421924670070257E-2</v>
      </c>
      <c r="HD7" s="14">
        <f>HC7*HA7</f>
        <v>-1.0741157557670303E-2</v>
      </c>
      <c r="HE7" s="15">
        <f>HB7*$L7</f>
        <v>939056.68586142326</v>
      </c>
      <c r="HF7" s="34">
        <f>HE7/$HE$19</f>
        <v>0.52830364004256825</v>
      </c>
      <c r="HG7" s="13">
        <v>1022.1</v>
      </c>
      <c r="HH7" s="38">
        <f>(HG7-HB7)/HB7</f>
        <v>5.1135804897237151E-3</v>
      </c>
      <c r="HI7" s="14">
        <f>HH7*HF7</f>
        <v>2.7015231863716975E-3</v>
      </c>
      <c r="HJ7" s="15">
        <f>HG7*$L7</f>
        <v>943858.62780898879</v>
      </c>
      <c r="HK7" s="34">
        <f>HJ7/$HJ$19</f>
        <v>0.52360454050321714</v>
      </c>
      <c r="HL7" s="13">
        <v>1036</v>
      </c>
      <c r="HM7" s="38">
        <f>(HL7-HG7)/HG7</f>
        <v>1.3599452108404244E-2</v>
      </c>
      <c r="HN7" s="14">
        <f>HM7*HM7</f>
        <v>1.8494509764878063E-4</v>
      </c>
      <c r="HO7" s="15">
        <f>HL7*$L7</f>
        <v>956694.58801498124</v>
      </c>
      <c r="HP7" s="34">
        <f>HO7/$HO$19</f>
        <v>0.51959155311480432</v>
      </c>
    </row>
    <row r="8" spans="2:224" s="5" customFormat="1" ht="18" customHeight="1" x14ac:dyDescent="0.45">
      <c r="B8" s="282">
        <v>2</v>
      </c>
      <c r="C8" s="280" t="s">
        <v>4</v>
      </c>
      <c r="D8" s="172" t="s">
        <v>121</v>
      </c>
      <c r="E8" s="11">
        <v>263</v>
      </c>
      <c r="F8" s="12">
        <v>136245</v>
      </c>
      <c r="G8" s="170">
        <f t="shared" ref="G8:G19" si="22">(F8/$F$19)</f>
        <v>7.2189359772122277E-2</v>
      </c>
      <c r="H8" s="168">
        <v>7</v>
      </c>
      <c r="I8" s="13">
        <v>266</v>
      </c>
      <c r="J8" s="38">
        <f t="shared" ref="J8:J17" si="23">(I8-E8)/E8</f>
        <v>1.1406844106463879E-2</v>
      </c>
      <c r="K8" s="14">
        <f t="shared" ref="K8:K18" si="24">G8*J8</f>
        <v>8.2345277306603362E-4</v>
      </c>
      <c r="L8" s="15">
        <f t="shared" ref="L8:L18" si="25">F8/E8</f>
        <v>518.04182509505699</v>
      </c>
      <c r="M8" s="16">
        <f t="shared" ref="M8:M18" si="26">L8*I8</f>
        <v>137799.12547528517</v>
      </c>
      <c r="N8" s="17">
        <f t="shared" ref="N8:N18" si="27">(M8/$M$19)</f>
        <v>7.6994210624758225E-2</v>
      </c>
      <c r="O8" s="13">
        <v>259.95</v>
      </c>
      <c r="P8" s="38">
        <f t="shared" si="0"/>
        <v>-2.2744360902255682E-2</v>
      </c>
      <c r="Q8" s="14">
        <f t="shared" si="1"/>
        <v>-1.7511841138337899E-3</v>
      </c>
      <c r="R8" s="15">
        <f t="shared" si="2"/>
        <v>134664.97243346006</v>
      </c>
      <c r="S8" s="34">
        <f t="shared" ref="S8:S19" si="28">R8/$R$19</f>
        <v>7.5906635860932381E-2</v>
      </c>
      <c r="T8" s="13">
        <v>261.64999999999998</v>
      </c>
      <c r="U8" s="38">
        <f t="shared" si="3"/>
        <v>6.5397191767647186E-3</v>
      </c>
      <c r="V8" s="14">
        <f t="shared" si="4"/>
        <v>4.96408082183436E-4</v>
      </c>
      <c r="W8" s="15">
        <f t="shared" ref="W8:W17" si="29">T8*$L8</f>
        <v>135545.64353612164</v>
      </c>
      <c r="X8" s="34">
        <f t="shared" ref="X8:X18" si="30">W8/$W$19</f>
        <v>7.6521634874817959E-2</v>
      </c>
      <c r="Y8" s="13">
        <v>267.8</v>
      </c>
      <c r="Z8" s="38">
        <f t="shared" si="5"/>
        <v>2.3504681826868087E-2</v>
      </c>
      <c r="AA8" s="14">
        <f t="shared" ref="AA8:AA18" si="31">Z8*X8</f>
        <v>1.7986166806043689E-3</v>
      </c>
      <c r="AB8" s="15">
        <f t="shared" ref="AB8:AB17" si="32">Y8*$L8</f>
        <v>138731.60076045626</v>
      </c>
      <c r="AC8" s="34">
        <f t="shared" ref="AC8:AC19" si="33">AB8/$AB$19</f>
        <v>7.7426545805049429E-2</v>
      </c>
      <c r="AD8" s="13">
        <v>261.39999999999998</v>
      </c>
      <c r="AE8" s="38">
        <f t="shared" si="6"/>
        <v>-2.3898431665422083E-2</v>
      </c>
      <c r="AF8" s="14">
        <f t="shared" si="7"/>
        <v>-1.8503730140116467E-3</v>
      </c>
      <c r="AG8" s="15">
        <f t="shared" ref="AG8:AG17" si="34">AD8*$L8</f>
        <v>135416.13307984787</v>
      </c>
      <c r="AH8" s="34">
        <f t="shared" ref="AH8:AH17" si="35">AG8/$AG$19</f>
        <v>7.6871658843152557E-2</v>
      </c>
      <c r="AI8" s="13">
        <v>260.05</v>
      </c>
      <c r="AJ8" s="38">
        <f t="shared" si="8"/>
        <v>-5.1644988523334582E-3</v>
      </c>
      <c r="AK8" s="14">
        <f t="shared" si="9"/>
        <v>-3.970035938724305E-4</v>
      </c>
      <c r="AL8" s="15">
        <f t="shared" ref="AL8:AL17" si="36">AI8*$L8</f>
        <v>134716.77661596957</v>
      </c>
      <c r="AM8" s="34">
        <f t="shared" ref="AM8:AM17" si="37">AL8/$AL$19</f>
        <v>7.8075549202477071E-2</v>
      </c>
      <c r="AN8" s="13">
        <v>260.60000000000002</v>
      </c>
      <c r="AO8" s="38">
        <f t="shared" ref="AO8:AO18" si="38">(AN8-AI8)/AI8</f>
        <v>2.114977888867569E-3</v>
      </c>
      <c r="AP8" s="14">
        <f t="shared" si="10"/>
        <v>1.6512806022443097E-4</v>
      </c>
      <c r="AQ8" s="15">
        <f t="shared" ref="AQ8:AQ17" si="39">AN8*$L8</f>
        <v>135001.69961977185</v>
      </c>
      <c r="AR8" s="34">
        <f t="shared" ref="AR8:AR17" si="40">AQ8/$AQ$19</f>
        <v>7.7424029500214667E-2</v>
      </c>
      <c r="AS8" s="13">
        <v>263.55</v>
      </c>
      <c r="AT8" s="38">
        <f t="shared" si="11"/>
        <v>1.132003069838829E-2</v>
      </c>
      <c r="AU8" s="14">
        <f t="shared" si="12"/>
        <v>8.7644239073535061E-4</v>
      </c>
      <c r="AV8" s="15">
        <f t="shared" ref="AV8:AV15" si="41">AS8*$L8</f>
        <v>136529.92300380228</v>
      </c>
      <c r="AW8" s="34">
        <f t="shared" ref="AW8:AW17" si="42">AV8/$AV$19</f>
        <v>7.8244049451006825E-2</v>
      </c>
      <c r="AX8" s="13">
        <v>263.10000000000002</v>
      </c>
      <c r="AY8" s="38">
        <f t="shared" si="13"/>
        <v>-1.7074558907227797E-3</v>
      </c>
      <c r="AZ8" s="14">
        <f t="shared" si="14"/>
        <v>-1.3359826314912607E-4</v>
      </c>
      <c r="BA8" s="15">
        <f t="shared" ref="BA8:BA17" si="43">AX8*$L8</f>
        <v>136296.80418250951</v>
      </c>
      <c r="BB8" s="34">
        <f t="shared" ref="BB8:BB17" si="44">BA8/$BA$19</f>
        <v>7.7934998535468522E-2</v>
      </c>
      <c r="BC8" s="13">
        <v>265.39999999999998</v>
      </c>
      <c r="BD8" s="38">
        <f t="shared" si="15"/>
        <v>8.7419232231089102E-3</v>
      </c>
      <c r="BE8" s="14">
        <f t="shared" si="16"/>
        <v>6.8130177359017113E-4</v>
      </c>
      <c r="BF8" s="15">
        <f t="shared" ref="BF8:BF17" si="45">BC8*$L8</f>
        <v>137488.30038022812</v>
      </c>
      <c r="BG8" s="34">
        <f t="shared" ref="BG8:BG17" si="46">BF8/$BF$19</f>
        <v>7.8655951694555942E-2</v>
      </c>
      <c r="BH8" s="13">
        <v>272.25</v>
      </c>
      <c r="BI8" s="38">
        <f t="shared" si="17"/>
        <v>2.581009796533543E-2</v>
      </c>
      <c r="BJ8" s="14">
        <f t="shared" si="18"/>
        <v>2.0301178187931801E-3</v>
      </c>
      <c r="BK8" s="15">
        <f t="shared" ref="BK8:BK17" si="47">BH8*$L8</f>
        <v>141036.88688212927</v>
      </c>
      <c r="BL8" s="34">
        <f t="shared" ref="BL8:BL18" si="48">BK8/$BK$19</f>
        <v>7.8660404625193747E-2</v>
      </c>
      <c r="BM8" s="13">
        <v>270.5</v>
      </c>
      <c r="BN8" s="38">
        <f t="shared" si="19"/>
        <v>-6.4279155188246093E-3</v>
      </c>
      <c r="BO8" s="14">
        <f t="shared" si="20"/>
        <v>-5.0562243560730593E-4</v>
      </c>
      <c r="BP8" s="15">
        <f t="shared" ref="BP8:BP17" si="49">BM8*$L8</f>
        <v>140130.31368821292</v>
      </c>
      <c r="BQ8" s="34">
        <f t="shared" ref="BQ8:BQ17" si="50">BP8/$BP$19</f>
        <v>7.84056997817206E-2</v>
      </c>
      <c r="BR8" s="13">
        <v>270.95</v>
      </c>
      <c r="BS8" s="38">
        <f t="shared" ref="BS8:BS17" si="51">(BR8-BM8)/BM8</f>
        <v>1.6635859519408083E-3</v>
      </c>
      <c r="BT8" s="14">
        <f t="shared" ref="BT8:BT11" si="52">BS8*BQ8</f>
        <v>1.3043462070895889E-4</v>
      </c>
      <c r="BU8" s="15">
        <f t="shared" ref="BU8" si="53">BR8*$L8</f>
        <v>140363.43250950568</v>
      </c>
      <c r="BV8" s="34">
        <f t="shared" ref="BV8:BV18" si="54">BU8/$BU$19</f>
        <v>7.8402285556661608E-2</v>
      </c>
      <c r="BW8" s="13">
        <v>268.5</v>
      </c>
      <c r="BX8" s="38">
        <f t="shared" ref="BX8:BX17" si="55">(BW8-BR8)/BR8</f>
        <v>-9.042258719320866E-3</v>
      </c>
      <c r="BY8" s="14">
        <f t="shared" ref="BY8:BY11" si="56">BX8*BV8</f>
        <v>-7.089337501894078E-4</v>
      </c>
      <c r="BZ8" s="15">
        <f t="shared" ref="BZ8" si="57">BW8*$L8</f>
        <v>139094.2300380228</v>
      </c>
      <c r="CA8" s="34">
        <f t="shared" ref="CA8:CA18" si="58">BZ8/$BZ$19</f>
        <v>7.8318391348001462E-2</v>
      </c>
      <c r="CB8" s="13">
        <v>264.35000000000002</v>
      </c>
      <c r="CC8" s="38">
        <f t="shared" ref="CC8:CC17" si="59">(CB8-BW8)/BW8</f>
        <v>-1.545623836126621E-2</v>
      </c>
      <c r="CD8" s="14">
        <f t="shared" ref="CD8:CD11" si="60">CC8*CA8</f>
        <v>-1.2105077247456398E-3</v>
      </c>
      <c r="CE8" s="15">
        <f t="shared" ref="CE8" si="61">CB8*$L8</f>
        <v>136944.35646387833</v>
      </c>
      <c r="CF8" s="34">
        <f t="shared" ref="CF8:CF19" si="62">CE8/$CE$19</f>
        <v>7.8371903736427911E-2</v>
      </c>
      <c r="CG8" s="13">
        <v>265.8</v>
      </c>
      <c r="CH8" s="38">
        <f t="shared" ref="CH8:CH17" si="63">(CG8-CB8)/CB8</f>
        <v>5.4851522602609743E-3</v>
      </c>
      <c r="CI8" s="14">
        <f t="shared" ref="CI8:CI11" si="64">CH8*CF8</f>
        <v>4.2988182492082307E-4</v>
      </c>
      <c r="CJ8" s="15">
        <f t="shared" ref="CJ8" si="65">CG8*$L8</f>
        <v>137695.51711026614</v>
      </c>
      <c r="CK8" s="34">
        <f t="shared" ref="CK8:CK19" si="66">CJ8/$CJ$19</f>
        <v>7.7826465056265837E-2</v>
      </c>
      <c r="CL8" s="13">
        <v>268.85000000000002</v>
      </c>
      <c r="CM8" s="38">
        <f t="shared" ref="CM8:CM17" si="67">(CL8-CG8)/CG8</f>
        <v>1.1474793077501924E-2</v>
      </c>
      <c r="CN8" s="14">
        <f t="shared" ref="CN8:CN11" si="68">CM8*CK8</f>
        <v>8.9304258247408462E-4</v>
      </c>
      <c r="CO8" s="15">
        <f t="shared" ref="CO8" si="69">CL8*$L8</f>
        <v>139275.54467680608</v>
      </c>
      <c r="CP8" s="34">
        <f t="shared" ref="CP8:CP19" si="70">CO8/$CO$19</f>
        <v>7.8817240556413218E-2</v>
      </c>
      <c r="CQ8" s="13">
        <v>271.3</v>
      </c>
      <c r="CR8" s="38">
        <f t="shared" ref="CR8:CR17" si="71">(CQ8-CL8)/CL8</f>
        <v>9.1128882276361855E-3</v>
      </c>
      <c r="CS8" s="14">
        <f t="shared" ref="CS8:CS11" si="72">CR8*CP8</f>
        <v>7.1825270360130738E-4</v>
      </c>
      <c r="CT8" s="15">
        <f t="shared" ref="CT8" si="73">CQ8*$L8</f>
        <v>140544.74714828897</v>
      </c>
      <c r="CU8" s="34">
        <f t="shared" si="21"/>
        <v>7.8350474702095899E-2</v>
      </c>
      <c r="CV8" s="13">
        <v>263.7</v>
      </c>
      <c r="CW8" s="38">
        <f t="shared" ref="CW8:CW17" si="74">(CV8-CQ8)/CQ8</f>
        <v>-2.8013269443420651E-2</v>
      </c>
      <c r="CX8" s="14">
        <f t="shared" ref="CX8:CX18" si="75">CW8*CW8</f>
        <v>7.8474326490968519E-4</v>
      </c>
      <c r="CY8" s="15">
        <f t="shared" ref="CY8" si="76">CV8*$L8</f>
        <v>136607.62927756654</v>
      </c>
      <c r="CZ8" s="34">
        <f t="shared" ref="CZ8:CZ18" si="77">CY8/$CY$19</f>
        <v>7.626162614297502E-2</v>
      </c>
      <c r="DA8" s="13">
        <v>259.25</v>
      </c>
      <c r="DB8" s="38">
        <f t="shared" ref="DB8:DB17" si="78">(DA8-CV8)/CV8</f>
        <v>-1.687523701175574E-2</v>
      </c>
      <c r="DC8" s="14">
        <f t="shared" ref="DC8:DC11" si="79">DB8*CZ8</f>
        <v>-1.2869330160646111E-3</v>
      </c>
      <c r="DD8" s="15">
        <f t="shared" ref="DD8" si="80">DA8*$L8</f>
        <v>134302.34315589353</v>
      </c>
      <c r="DE8" s="34">
        <f t="shared" ref="DE8:DE18" si="81">DD8/$DD$19</f>
        <v>7.5230458873481981E-2</v>
      </c>
      <c r="DF8" s="13">
        <v>273.8</v>
      </c>
      <c r="DG8" s="38">
        <f t="shared" ref="DG8:DG17" si="82">(DF8-DA8)/DA8</f>
        <v>5.6123432979749317E-2</v>
      </c>
      <c r="DH8" s="14">
        <f t="shared" ref="DH8:DH11" si="83">DG8*DE8</f>
        <v>4.2221916166216532E-3</v>
      </c>
      <c r="DI8" s="15">
        <f t="shared" ref="DI8" si="84">DF8*$L8</f>
        <v>141839.8517110266</v>
      </c>
      <c r="DJ8" s="34">
        <f t="shared" ref="DJ8:DJ18" si="85">DI8/$DI$19</f>
        <v>7.7060465465107114E-2</v>
      </c>
      <c r="DK8" s="13">
        <v>269.3</v>
      </c>
      <c r="DL8" s="38">
        <f t="shared" ref="DL8:DL17" si="86">(DK8-DF8)/DF8</f>
        <v>-1.6435354273192111E-2</v>
      </c>
      <c r="DM8" s="14">
        <f t="shared" ref="DM8:DM11" si="87">DL8*DJ8</f>
        <v>-1.2665160503761213E-3</v>
      </c>
      <c r="DN8" s="15">
        <f t="shared" ref="DN8" si="88">DK8*$L8</f>
        <v>139508.66349809885</v>
      </c>
      <c r="DO8" s="34">
        <f t="shared" ref="DO8:DO18" si="89">DN8/$DN$19</f>
        <v>7.6586615982156325E-2</v>
      </c>
      <c r="DP8" s="13">
        <v>267.60000000000002</v>
      </c>
      <c r="DQ8" s="38">
        <f t="shared" ref="DQ8:DQ17" si="90">(DP8-DK8)/DK8</f>
        <v>-6.312662458224985E-3</v>
      </c>
      <c r="DR8" s="14">
        <f t="shared" ref="DR8:DR11" si="91">DQ8*DO8</f>
        <v>-4.8346545551305185E-4</v>
      </c>
      <c r="DS8" s="15">
        <f t="shared" ref="DS8" si="92">DP8*$L8</f>
        <v>138627.99239543726</v>
      </c>
      <c r="DT8" s="34">
        <f t="shared" ref="DT8:DT18" si="93">DS8/$DS$19</f>
        <v>7.6693026050756674E-2</v>
      </c>
      <c r="DU8" s="13">
        <v>274.75</v>
      </c>
      <c r="DV8" s="38">
        <f t="shared" ref="DV8:DV17" si="94">(DU8-DP8)/DP8</f>
        <v>2.6718983557548492E-2</v>
      </c>
      <c r="DW8" s="14">
        <f t="shared" ref="DW8:DW18" si="95">DV8*DV8</f>
        <v>7.1390408234854662E-4</v>
      </c>
      <c r="DX8" s="15">
        <f t="shared" ref="DX8" si="96">DU8*$L8</f>
        <v>142331.9914448669</v>
      </c>
      <c r="DY8" s="34">
        <f t="shared" ref="DY8:DY18" si="97">DX8/$DX$19</f>
        <v>7.7228077393223488E-2</v>
      </c>
      <c r="DZ8" s="13">
        <v>276.05</v>
      </c>
      <c r="EA8" s="38">
        <f t="shared" ref="EA8:EA17" si="98">(DZ8-DU8)/DU8</f>
        <v>4.7315741583257923E-3</v>
      </c>
      <c r="EB8" s="14">
        <f t="shared" ref="EB8:EB11" si="99">EA8*DY8</f>
        <v>3.6541037529096057E-4</v>
      </c>
      <c r="EC8" s="15">
        <f t="shared" ref="EC8" si="100">DZ8*$L8</f>
        <v>143005.44581749049</v>
      </c>
      <c r="ED8" s="34">
        <f t="shared" ref="ED8:ED17" si="101">EC8/$EC$19</f>
        <v>7.713901189641488E-2</v>
      </c>
      <c r="EE8" s="13">
        <v>275.35000000000002</v>
      </c>
      <c r="EF8" s="38">
        <f t="shared" ref="EF8:EF17" si="102">(EE8-DZ8)/DZ8</f>
        <v>-2.5357725049809402E-3</v>
      </c>
      <c r="EG8" s="14">
        <f t="shared" ref="EG8:EG11" si="103">EF8*ED8</f>
        <v>-1.956069854283265E-4</v>
      </c>
      <c r="EH8" s="15">
        <f t="shared" ref="EH8" si="104">EE8*$L8</f>
        <v>142642.81653992395</v>
      </c>
      <c r="EI8" s="34">
        <f t="shared" ref="EI8:EI18" si="105">EH8/$EH$19</f>
        <v>7.7163086061470654E-2</v>
      </c>
      <c r="EJ8" s="13">
        <v>281.85000000000002</v>
      </c>
      <c r="EK8" s="38">
        <f t="shared" ref="EK8:EK17" si="106">(EJ8-EE8)/EE8</f>
        <v>2.3606319230070817E-2</v>
      </c>
      <c r="EL8" s="14">
        <f t="shared" ref="EL8:EL11" si="107">EK8*EI8</f>
        <v>1.821536442344504E-3</v>
      </c>
      <c r="EM8" s="15">
        <f t="shared" ref="EM8" si="108">EJ8*$L8</f>
        <v>146010.08840304182</v>
      </c>
      <c r="EN8" s="34">
        <f t="shared" ref="EN8:EN18" si="109">EM8/$EM$19</f>
        <v>7.7611401949660194E-2</v>
      </c>
      <c r="EO8" s="13">
        <v>283</v>
      </c>
      <c r="EP8" s="38">
        <f t="shared" ref="EP8:EP17" si="110">(EO8-EJ8)/EJ8</f>
        <v>4.0801844952988373E-3</v>
      </c>
      <c r="EQ8" s="14">
        <f t="shared" ref="EQ8:EQ11" si="111">EP8*EN8</f>
        <v>3.1666883889340948E-4</v>
      </c>
      <c r="ER8" s="15">
        <f t="shared" ref="ER8" si="112">EO8*$L8</f>
        <v>146605.83650190113</v>
      </c>
      <c r="ES8" s="34">
        <f t="shared" ref="ES8:ES18" si="113">ER8/$ER$19</f>
        <v>7.7281854261315258E-2</v>
      </c>
      <c r="ET8" s="13">
        <v>281.05</v>
      </c>
      <c r="EU8" s="38">
        <f t="shared" ref="EU8:EU17" si="114">(ET8-EO8)/EO8</f>
        <v>-6.8904593639575566E-3</v>
      </c>
      <c r="EV8" s="14">
        <f t="shared" ref="EV8:EV18" si="115">EU8*EU8</f>
        <v>4.7478430246350376E-5</v>
      </c>
      <c r="EW8" s="15">
        <f t="shared" ref="EW8" si="116">ET8*$L8</f>
        <v>145595.65494296578</v>
      </c>
      <c r="EX8" s="34">
        <f t="shared" ref="EX8:EX18" si="117">EW8/$EW$19</f>
        <v>7.7240446429598222E-2</v>
      </c>
      <c r="EY8" s="13">
        <v>286.05</v>
      </c>
      <c r="EZ8" s="38">
        <f t="shared" ref="EZ8:EZ17" si="118">(EY8-ET8)/ET8</f>
        <v>1.7790428749332857E-2</v>
      </c>
      <c r="FA8" s="14">
        <f t="shared" ref="FA8:FA11" si="119">EZ8*EX8</f>
        <v>1.3741406587724286E-3</v>
      </c>
      <c r="FB8" s="15">
        <f t="shared" ref="FB8" si="120">EY8*$L8</f>
        <v>148185.86406844106</v>
      </c>
      <c r="FC8" s="34">
        <f t="shared" ref="FC8:FC17" si="121">FB8/$FB$19</f>
        <v>7.8229679159593626E-2</v>
      </c>
      <c r="FD8" s="13">
        <v>277.8</v>
      </c>
      <c r="FE8" s="38">
        <f t="shared" ref="FE8:FE17" si="122">(FD8-EY8)/EY8</f>
        <v>-2.884111169375983E-2</v>
      </c>
      <c r="FF8" s="14">
        <f t="shared" ref="FF8:FF11" si="123">FE8*FC8</f>
        <v>-2.2562309144088352E-3</v>
      </c>
      <c r="FG8" s="15">
        <f t="shared" ref="FG8" si="124">FD8*$L8</f>
        <v>143912.01901140684</v>
      </c>
      <c r="FH8" s="34">
        <f t="shared" ref="FH8:FH17" si="125">FG8/$FG$19</f>
        <v>7.735152764840976E-2</v>
      </c>
      <c r="FI8" s="13">
        <v>279.89999999999998</v>
      </c>
      <c r="FJ8" s="38">
        <f t="shared" ref="FJ8:FJ17" si="126">(FI8-FD8)/FD8</f>
        <v>7.5593952483800067E-3</v>
      </c>
      <c r="FK8" s="14">
        <f t="shared" ref="FK8:FK11" si="127">FJ8*FH8</f>
        <v>5.8473077056032344E-4</v>
      </c>
      <c r="FL8" s="15">
        <f t="shared" ref="FL8" si="128">FI8*$L8</f>
        <v>144999.90684410644</v>
      </c>
      <c r="FM8" s="34">
        <f t="shared" ref="FM8:FM17" si="129">FL8/$FL$19</f>
        <v>7.7481830136838778E-2</v>
      </c>
      <c r="FN8" s="13">
        <v>279.14999999999998</v>
      </c>
      <c r="FO8" s="38">
        <f t="shared" ref="FO8:FO17" si="130">(FN8-FI8)/FI8</f>
        <v>-2.6795284030010722E-3</v>
      </c>
      <c r="FP8" s="14">
        <f t="shared" ref="FP8:FP11" si="131">FO8*FM8</f>
        <v>-2.0761476456816397E-4</v>
      </c>
      <c r="FQ8" s="15">
        <f t="shared" ref="FQ8" si="132">FN8*$L8</f>
        <v>144611.37547528514</v>
      </c>
      <c r="FR8" s="34">
        <f t="shared" ref="FR8:FR17" si="133">FQ8/$FQ$19</f>
        <v>7.703480096133504E-2</v>
      </c>
      <c r="FS8" s="13">
        <v>272.8</v>
      </c>
      <c r="FT8" s="38">
        <f t="shared" ref="FT8:FT10" si="134">(FS8-FN8)/FN8</f>
        <v>-2.2747626723983401E-2</v>
      </c>
      <c r="FU8" s="14">
        <f t="shared" ref="FU8:FU11" si="135">FT8*FR8</f>
        <v>-1.7523588970248072E-3</v>
      </c>
      <c r="FV8" s="15">
        <f t="shared" ref="FV8" si="136">FS8*$L8</f>
        <v>141321.80988593155</v>
      </c>
      <c r="FW8" s="34">
        <f t="shared" ref="FW8:FW17" si="137">FV8/$FQ$19</f>
        <v>7.5282442064310243E-2</v>
      </c>
      <c r="FX8" s="13">
        <v>271.64999999999998</v>
      </c>
      <c r="FY8" s="38">
        <f t="shared" ref="FY8:FY17" si="138">(FX8-FS8)/FS8</f>
        <v>-4.2155425219942595E-3</v>
      </c>
      <c r="FZ8" s="14">
        <f t="shared" ref="FZ8:FZ11" si="139">FY8*FW8</f>
        <v>-3.1735633568166912E-4</v>
      </c>
      <c r="GA8" s="15">
        <f t="shared" ref="GA8" si="140">FX8*$L8</f>
        <v>140726.06178707222</v>
      </c>
      <c r="GB8" s="34">
        <f t="shared" ref="GB8:GB17" si="141">GA8/$GA$19</f>
        <v>7.6171769502966516E-2</v>
      </c>
      <c r="GC8" s="13">
        <v>252.2</v>
      </c>
      <c r="GD8" s="38">
        <f t="shared" ref="GD8:GD17" si="142">(GC8-FX8)/FX8</f>
        <v>-7.1599484630958915E-2</v>
      </c>
      <c r="GE8" s="14">
        <f t="shared" ref="GE8:GE11" si="143">GD8*GB8</f>
        <v>-5.4538594398405964E-3</v>
      </c>
      <c r="GF8" s="15">
        <f t="shared" ref="GF8" si="144">GC8*$L8</f>
        <v>130650.14828897337</v>
      </c>
      <c r="GG8" s="34">
        <f t="shared" ref="GG8:GG17" si="145">GF8/$GF$19</f>
        <v>7.0195694705378342E-2</v>
      </c>
      <c r="GH8" s="13">
        <v>249.95</v>
      </c>
      <c r="GI8" s="38">
        <f t="shared" ref="GI8:GI17" si="146">(GH8-GC8)/GC8</f>
        <v>-8.9214908802537681E-3</v>
      </c>
      <c r="GJ8" s="14">
        <f t="shared" ref="GJ8:GJ11" si="147">GI8*GG8</f>
        <v>-6.2625025014711056E-4</v>
      </c>
      <c r="GK8" s="15">
        <f t="shared" ref="GK8" si="148">GH8*$L8</f>
        <v>129484.55418250948</v>
      </c>
      <c r="GL8" s="34">
        <f t="shared" ref="GL8:GL17" si="149">GK8/$GK$19</f>
        <v>6.9439366953293821E-2</v>
      </c>
      <c r="GM8" s="13">
        <v>247.85</v>
      </c>
      <c r="GN8" s="38">
        <f t="shared" ref="GN8:GN17" si="150">(GM8-GH8)/GH8</f>
        <v>-8.4016803360671913E-3</v>
      </c>
      <c r="GO8" s="14">
        <f t="shared" ref="GO8:GO18" si="151">GN8*GN8</f>
        <v>7.0588232469458108E-5</v>
      </c>
      <c r="GP8" s="15">
        <f t="shared" ref="GP8" si="152">GM8*$L8</f>
        <v>128396.66634980988</v>
      </c>
      <c r="GQ8" s="34">
        <f t="shared" ref="GQ8:GQ17" si="153">GP8/$GP$19</f>
        <v>6.9848281783630742E-2</v>
      </c>
      <c r="GR8" s="13">
        <v>249.95</v>
      </c>
      <c r="GS8" s="38">
        <f t="shared" ref="GS8:GS17" si="154">(GR8-GM8)/GM8</f>
        <v>8.4728666532176491E-3</v>
      </c>
      <c r="GT8" s="14">
        <f t="shared" ref="GT8:GT11" si="155">GS8*GQ8</f>
        <v>5.918151775090747E-4</v>
      </c>
      <c r="GU8" s="15">
        <f t="shared" ref="GU8" si="156">GR8*$L8</f>
        <v>129484.55418250948</v>
      </c>
      <c r="GV8" s="34">
        <f t="shared" ref="GV8:GV17" si="157">GU8/$GU$19</f>
        <v>7.0845044909345276E-2</v>
      </c>
      <c r="GW8" s="13">
        <v>247.85</v>
      </c>
      <c r="GX8" s="38">
        <f t="shared" ref="GX8:GX17" si="158">(GW8-GR8)/GR8</f>
        <v>-8.4016803360671913E-3</v>
      </c>
      <c r="GY8" s="14">
        <f t="shared" ref="GY8:GY11" si="159">GX8*GV8</f>
        <v>-5.9521742072264324E-4</v>
      </c>
      <c r="GZ8" s="15">
        <f t="shared" ref="GZ8" si="160">GW8*$L8</f>
        <v>128396.66634980988</v>
      </c>
      <c r="HA8" s="34">
        <f t="shared" ref="HA8:HA17" si="161">GZ8/$GZ$19</f>
        <v>7.044584979203361E-2</v>
      </c>
      <c r="HB8" s="13">
        <v>240.45</v>
      </c>
      <c r="HC8" s="38">
        <f t="shared" ref="HC8:HC17" si="162">(HB8-GW8)/GW8</f>
        <v>-2.9856768206576581E-2</v>
      </c>
      <c r="HD8" s="14">
        <f t="shared" ref="HD8:HD11" si="163">HC8*HA8</f>
        <v>-2.1032854083560585E-3</v>
      </c>
      <c r="HE8" s="15">
        <f t="shared" ref="HE8" si="164">HB8*$L8</f>
        <v>124563.15684410644</v>
      </c>
      <c r="HF8" s="34">
        <f t="shared" ref="HF8:HF17" si="165">HE8/$GF$19</f>
        <v>6.6925276732387864E-2</v>
      </c>
      <c r="HG8" s="13">
        <v>250.95</v>
      </c>
      <c r="HH8" s="38">
        <f t="shared" ref="HH8:HH17" si="166">(HG8-HB8)/HB8</f>
        <v>4.3668122270742363E-2</v>
      </c>
      <c r="HI8" s="14">
        <f t="shared" ref="HI8:HI11" si="167">HH8*HF8</f>
        <v>2.9225011673531822E-3</v>
      </c>
      <c r="HJ8" s="15">
        <f t="shared" ref="HJ8" si="168">HG8*$L8</f>
        <v>130002.59600760454</v>
      </c>
      <c r="HK8" s="34">
        <f t="shared" ref="HK8:HK17" si="169">HJ8/$HJ$19</f>
        <v>7.2118797816999619E-2</v>
      </c>
      <c r="HL8" s="13">
        <v>244.6</v>
      </c>
      <c r="HM8" s="38">
        <f t="shared" ref="HM8:HM17" si="170">(HL8-HG8)/HG8</f>
        <v>-2.5303845387527373E-2</v>
      </c>
      <c r="HN8" s="14">
        <f t="shared" ref="HN8:HN18" si="171">HM8*HM8</f>
        <v>6.4028459139589035E-4</v>
      </c>
      <c r="HO8" s="15">
        <f t="shared" ref="HO8" si="172">HL8*$L8</f>
        <v>126713.03041825094</v>
      </c>
      <c r="HP8" s="34">
        <f t="shared" ref="HP8:HP17" si="173">HO8/$HO$19</f>
        <v>6.8819266984158425E-2</v>
      </c>
    </row>
    <row r="9" spans="2:224" s="5" customFormat="1" ht="18" customHeight="1" x14ac:dyDescent="0.45">
      <c r="B9" s="282">
        <v>3</v>
      </c>
      <c r="C9" s="280" t="s">
        <v>5</v>
      </c>
      <c r="D9" s="172" t="s">
        <v>122</v>
      </c>
      <c r="E9" s="11">
        <v>166</v>
      </c>
      <c r="F9" s="12">
        <v>126672</v>
      </c>
      <c r="G9" s="170">
        <f t="shared" si="22"/>
        <v>6.7117109479645304E-2</v>
      </c>
      <c r="H9" s="168">
        <v>6.52</v>
      </c>
      <c r="I9" s="13">
        <v>163.81</v>
      </c>
      <c r="J9" s="38">
        <f t="shared" si="23"/>
        <v>-1.3192771084337336E-2</v>
      </c>
      <c r="K9" s="14">
        <f t="shared" si="24"/>
        <v>-8.8546066120736785E-4</v>
      </c>
      <c r="L9" s="15">
        <f t="shared" si="25"/>
        <v>763.08433734939763</v>
      </c>
      <c r="M9" s="16">
        <f t="shared" si="26"/>
        <v>125000.84530120483</v>
      </c>
      <c r="N9" s="17">
        <f t="shared" si="27"/>
        <v>6.9843269165884139E-2</v>
      </c>
      <c r="O9" s="13">
        <v>162.19</v>
      </c>
      <c r="P9" s="38">
        <f t="shared" si="0"/>
        <v>-9.8895061351566109E-3</v>
      </c>
      <c r="Q9" s="14">
        <f t="shared" si="1"/>
        <v>-6.9071543891540571E-4</v>
      </c>
      <c r="R9" s="15">
        <f t="shared" si="2"/>
        <v>123764.64867469879</v>
      </c>
      <c r="S9" s="34">
        <f t="shared" si="28"/>
        <v>6.9762447870759997E-2</v>
      </c>
      <c r="T9" s="13">
        <v>162.9</v>
      </c>
      <c r="U9" s="38">
        <f t="shared" si="3"/>
        <v>4.3775818484493986E-3</v>
      </c>
      <c r="V9" s="14">
        <f t="shared" si="4"/>
        <v>3.0539082550243637E-4</v>
      </c>
      <c r="W9" s="15">
        <f t="shared" si="29"/>
        <v>124306.43855421687</v>
      </c>
      <c r="X9" s="34">
        <f t="shared" si="30"/>
        <v>7.0176596277695083E-2</v>
      </c>
      <c r="Y9" s="13">
        <v>164.9</v>
      </c>
      <c r="Z9" s="38">
        <f t="shared" si="5"/>
        <v>1.2277470841006752E-2</v>
      </c>
      <c r="AA9" s="14">
        <f t="shared" si="31"/>
        <v>8.6159111452050439E-4</v>
      </c>
      <c r="AB9" s="15">
        <f t="shared" si="32"/>
        <v>125832.60722891567</v>
      </c>
      <c r="AC9" s="34">
        <f t="shared" si="33"/>
        <v>7.0227576658623073E-2</v>
      </c>
      <c r="AD9" s="13">
        <v>161.94</v>
      </c>
      <c r="AE9" s="38">
        <f t="shared" si="6"/>
        <v>-1.7950272892662267E-2</v>
      </c>
      <c r="AF9" s="14">
        <f t="shared" si="7"/>
        <v>-1.260604165612643E-3</v>
      </c>
      <c r="AG9" s="15">
        <f t="shared" si="34"/>
        <v>123573.87759036144</v>
      </c>
      <c r="AH9" s="34">
        <f t="shared" si="35"/>
        <v>7.0149167193029341E-2</v>
      </c>
      <c r="AI9" s="13">
        <v>158.88999999999999</v>
      </c>
      <c r="AJ9" s="38">
        <f t="shared" si="8"/>
        <v>-1.8834136099790115E-2</v>
      </c>
      <c r="AK9" s="14">
        <f t="shared" si="9"/>
        <v>-1.3211989622004463E-3</v>
      </c>
      <c r="AL9" s="15">
        <f t="shared" si="36"/>
        <v>121246.47036144578</v>
      </c>
      <c r="AM9" s="34">
        <f t="shared" si="37"/>
        <v>7.0268789085691161E-2</v>
      </c>
      <c r="AN9" s="13">
        <v>158.96</v>
      </c>
      <c r="AO9" s="38">
        <f t="shared" si="38"/>
        <v>4.4055635974587202E-4</v>
      </c>
      <c r="AP9" s="14">
        <f t="shared" si="10"/>
        <v>3.0957361923342562E-5</v>
      </c>
      <c r="AQ9" s="15">
        <f t="shared" si="39"/>
        <v>121299.88626506025</v>
      </c>
      <c r="AR9" s="34">
        <f t="shared" si="40"/>
        <v>6.9565983235838166E-2</v>
      </c>
      <c r="AS9" s="13">
        <v>159</v>
      </c>
      <c r="AT9" s="38">
        <f t="shared" si="11"/>
        <v>2.5163563160538523E-4</v>
      </c>
      <c r="AU9" s="14">
        <f t="shared" si="12"/>
        <v>1.7505280129799778E-5</v>
      </c>
      <c r="AV9" s="15">
        <f t="shared" si="41"/>
        <v>121330.40963855422</v>
      </c>
      <c r="AW9" s="34">
        <f t="shared" si="42"/>
        <v>6.9533347436265422E-2</v>
      </c>
      <c r="AX9" s="13">
        <v>160.12</v>
      </c>
      <c r="AY9" s="38">
        <f t="shared" si="13"/>
        <v>7.0440251572327327E-3</v>
      </c>
      <c r="AZ9" s="14">
        <f t="shared" si="14"/>
        <v>4.8979464860765781E-4</v>
      </c>
      <c r="BA9" s="15">
        <f t="shared" si="43"/>
        <v>122185.06409638555</v>
      </c>
      <c r="BB9" s="34">
        <f t="shared" si="44"/>
        <v>6.9865855245268643E-2</v>
      </c>
      <c r="BC9" s="13">
        <v>160.72</v>
      </c>
      <c r="BD9" s="38">
        <f t="shared" si="15"/>
        <v>3.7471896077941186E-3</v>
      </c>
      <c r="BE9" s="14">
        <f t="shared" si="16"/>
        <v>2.6180060671471885E-4</v>
      </c>
      <c r="BF9" s="15">
        <f t="shared" si="45"/>
        <v>122642.91469879518</v>
      </c>
      <c r="BG9" s="34">
        <f t="shared" si="46"/>
        <v>7.0163025854200131E-2</v>
      </c>
      <c r="BH9" s="13">
        <v>168.87</v>
      </c>
      <c r="BI9" s="38">
        <f t="shared" si="17"/>
        <v>5.0709308113489331E-2</v>
      </c>
      <c r="BJ9" s="14">
        <f t="shared" si="18"/>
        <v>3.5579184962153524E-3</v>
      </c>
      <c r="BK9" s="15">
        <f t="shared" si="47"/>
        <v>128862.05204819278</v>
      </c>
      <c r="BL9" s="34">
        <f t="shared" si="48"/>
        <v>7.1870142478506399E-2</v>
      </c>
      <c r="BM9" s="13">
        <v>167.55</v>
      </c>
      <c r="BN9" s="38">
        <f t="shared" si="19"/>
        <v>-7.8166637058091626E-3</v>
      </c>
      <c r="BO9" s="14">
        <f t="shared" si="20"/>
        <v>-5.6178473424307439E-4</v>
      </c>
      <c r="BP9" s="15">
        <f>BM9*$L9</f>
        <v>127854.78072289158</v>
      </c>
      <c r="BQ9" s="34">
        <f t="shared" si="50"/>
        <v>7.1537294744955474E-2</v>
      </c>
      <c r="BR9" s="13">
        <v>168.72</v>
      </c>
      <c r="BS9" s="38">
        <f t="shared" si="51"/>
        <v>6.9829901521933002E-3</v>
      </c>
      <c r="BT9" s="14">
        <f t="shared" si="52"/>
        <v>4.995442247185736E-4</v>
      </c>
      <c r="BU9" s="15">
        <f>BR9*$L9</f>
        <v>128747.58939759036</v>
      </c>
      <c r="BV9" s="34">
        <f t="shared" si="54"/>
        <v>7.1914066849270777E-2</v>
      </c>
      <c r="BW9" s="13">
        <v>167.88</v>
      </c>
      <c r="BX9" s="38">
        <f t="shared" si="55"/>
        <v>-4.9786628733997354E-3</v>
      </c>
      <c r="BY9" s="14">
        <f t="shared" si="56"/>
        <v>-3.5803589469765113E-4</v>
      </c>
      <c r="BZ9" s="15">
        <f>BW9*$L9</f>
        <v>128106.59855421686</v>
      </c>
      <c r="CA9" s="34">
        <f t="shared" si="58"/>
        <v>7.2131696024255107E-2</v>
      </c>
      <c r="CB9" s="13">
        <v>162.54</v>
      </c>
      <c r="CC9" s="38">
        <f t="shared" si="59"/>
        <v>-3.180843459614012E-2</v>
      </c>
      <c r="CD9" s="14">
        <f t="shared" si="60"/>
        <v>-2.294396335296179E-3</v>
      </c>
      <c r="CE9" s="15">
        <f>CB9*$L9</f>
        <v>124031.72819277109</v>
      </c>
      <c r="CF9" s="34">
        <f t="shared" si="62"/>
        <v>7.0982134008206757E-2</v>
      </c>
      <c r="CG9" s="13">
        <v>162.56</v>
      </c>
      <c r="CH9" s="38">
        <f t="shared" si="63"/>
        <v>1.2304663467460462E-4</v>
      </c>
      <c r="CI9" s="14">
        <f t="shared" si="64"/>
        <v>8.7341127117316459E-6</v>
      </c>
      <c r="CJ9" s="15">
        <f>CG9*$L9</f>
        <v>124046.98987951808</v>
      </c>
      <c r="CK9" s="34">
        <f t="shared" si="66"/>
        <v>7.0112222429596402E-2</v>
      </c>
      <c r="CL9" s="13">
        <v>166.7</v>
      </c>
      <c r="CM9" s="38">
        <f t="shared" si="67"/>
        <v>2.5467519685039287E-2</v>
      </c>
      <c r="CN9" s="14">
        <f t="shared" si="68"/>
        <v>1.7855844048875994E-3</v>
      </c>
      <c r="CO9" s="15">
        <f>CL9*$L9</f>
        <v>127206.15903614457</v>
      </c>
      <c r="CP9" s="34">
        <f t="shared" si="70"/>
        <v>7.1987070381056104E-2</v>
      </c>
      <c r="CQ9" s="13">
        <v>166.54</v>
      </c>
      <c r="CR9" s="38">
        <f t="shared" si="71"/>
        <v>-9.5980803839230109E-4</v>
      </c>
      <c r="CS9" s="14">
        <f t="shared" si="72"/>
        <v>-6.9093768812049976E-5</v>
      </c>
      <c r="CT9" s="15">
        <f>CQ9*$L9</f>
        <v>127084.06554216867</v>
      </c>
      <c r="CU9" s="34">
        <f t="shared" si="21"/>
        <v>7.0846453277940272E-2</v>
      </c>
      <c r="CV9" s="13">
        <v>167</v>
      </c>
      <c r="CW9" s="38">
        <f t="shared" si="74"/>
        <v>2.7620991953885431E-3</v>
      </c>
      <c r="CX9" s="14">
        <f t="shared" si="75"/>
        <v>7.6291919651660372E-6</v>
      </c>
      <c r="CY9" s="15">
        <f>CV9*$L9</f>
        <v>127435.0843373494</v>
      </c>
      <c r="CZ9" s="34">
        <f t="shared" si="77"/>
        <v>7.1141024923923268E-2</v>
      </c>
      <c r="DA9" s="13">
        <v>165.18</v>
      </c>
      <c r="DB9" s="38">
        <f t="shared" si="78"/>
        <v>-1.0898203592814331E-2</v>
      </c>
      <c r="DC9" s="14">
        <f t="shared" si="79"/>
        <v>-7.7530937342239442E-4</v>
      </c>
      <c r="DD9" s="15">
        <f>DA9*$L9</f>
        <v>126046.27084337351</v>
      </c>
      <c r="DE9" s="34">
        <f t="shared" si="81"/>
        <v>7.0605758410567723E-2</v>
      </c>
      <c r="DF9" s="13">
        <v>170.44</v>
      </c>
      <c r="DG9" s="38">
        <f t="shared" si="82"/>
        <v>3.1844048916333641E-2</v>
      </c>
      <c r="DH9" s="14">
        <f t="shared" si="83"/>
        <v>2.2483732246009538E-3</v>
      </c>
      <c r="DI9" s="15">
        <f>DF9*$L9</f>
        <v>130060.09445783134</v>
      </c>
      <c r="DJ9" s="34">
        <f t="shared" si="85"/>
        <v>7.0660616860875741E-2</v>
      </c>
      <c r="DK9" s="13">
        <v>166.45</v>
      </c>
      <c r="DL9" s="38">
        <f t="shared" si="86"/>
        <v>-2.3409997653133122E-2</v>
      </c>
      <c r="DM9" s="14">
        <f t="shared" si="87"/>
        <v>-1.6541648748820399E-3</v>
      </c>
      <c r="DN9" s="15">
        <f>DK9*$L9</f>
        <v>127015.38795180722</v>
      </c>
      <c r="DO9" s="34">
        <f t="shared" si="89"/>
        <v>6.972813370133267E-2</v>
      </c>
      <c r="DP9" s="13">
        <v>164.54</v>
      </c>
      <c r="DQ9" s="38">
        <f t="shared" si="90"/>
        <v>-1.1474917392610374E-2</v>
      </c>
      <c r="DR9" s="14">
        <f t="shared" si="91"/>
        <v>-8.0012457416368387E-4</v>
      </c>
      <c r="DS9" s="15">
        <f>DP9*$L9</f>
        <v>125557.89686746988</v>
      </c>
      <c r="DT9" s="34">
        <f t="shared" si="93"/>
        <v>6.9462270129881987E-2</v>
      </c>
      <c r="DU9" s="13">
        <v>170.05</v>
      </c>
      <c r="DV9" s="38">
        <f t="shared" si="94"/>
        <v>3.3487297921478178E-2</v>
      </c>
      <c r="DW9" s="14">
        <f t="shared" si="95"/>
        <v>1.1213991220818367E-3</v>
      </c>
      <c r="DX9" s="15">
        <f>DU9*$L9</f>
        <v>129762.49156626507</v>
      </c>
      <c r="DY9" s="34">
        <f t="shared" si="97"/>
        <v>7.0407978133987109E-2</v>
      </c>
      <c r="DZ9" s="13">
        <v>171.3</v>
      </c>
      <c r="EA9" s="38">
        <f t="shared" si="98"/>
        <v>7.3507791825933545E-3</v>
      </c>
      <c r="EB9" s="14">
        <f t="shared" si="99"/>
        <v>5.1755349995580052E-4</v>
      </c>
      <c r="EC9" s="15">
        <f>DZ9*$L9</f>
        <v>130716.34698795182</v>
      </c>
      <c r="ED9" s="34">
        <f t="shared" si="101"/>
        <v>7.0510110910239579E-2</v>
      </c>
      <c r="EE9" s="13">
        <v>170.56</v>
      </c>
      <c r="EF9" s="38">
        <f t="shared" si="102"/>
        <v>-4.31990659661418E-3</v>
      </c>
      <c r="EG9" s="14">
        <f t="shared" si="103"/>
        <v>-3.0459709324914141E-4</v>
      </c>
      <c r="EH9" s="15">
        <f>EE9*$L9</f>
        <v>130151.66457831326</v>
      </c>
      <c r="EI9" s="34">
        <f t="shared" si="105"/>
        <v>7.0405957611536382E-2</v>
      </c>
      <c r="EJ9" s="13">
        <v>173.75</v>
      </c>
      <c r="EK9" s="38">
        <f t="shared" si="106"/>
        <v>1.8703095684802988E-2</v>
      </c>
      <c r="EL9" s="14">
        <f t="shared" si="107"/>
        <v>1.3168093619887482E-3</v>
      </c>
      <c r="EM9" s="15">
        <f>EJ9*$L9</f>
        <v>132585.90361445784</v>
      </c>
      <c r="EN9" s="34">
        <f t="shared" si="109"/>
        <v>7.0475800479456577E-2</v>
      </c>
      <c r="EO9" s="13">
        <v>176.12</v>
      </c>
      <c r="EP9" s="38">
        <f t="shared" si="110"/>
        <v>1.3640287769784199E-2</v>
      </c>
      <c r="EQ9" s="14">
        <f t="shared" si="111"/>
        <v>9.6131019934568292E-4</v>
      </c>
      <c r="ER9" s="15">
        <f>EO9*$L9</f>
        <v>134394.41349397591</v>
      </c>
      <c r="ES9" s="34">
        <f t="shared" si="113"/>
        <v>7.0844720271704201E-2</v>
      </c>
      <c r="ET9" s="13">
        <v>175.76</v>
      </c>
      <c r="EU9" s="38">
        <f t="shared" si="114"/>
        <v>-2.0440608675903566E-3</v>
      </c>
      <c r="EV9" s="14">
        <f t="shared" si="115"/>
        <v>4.1781848304142418E-6</v>
      </c>
      <c r="EW9" s="15">
        <f>ET9*$L9</f>
        <v>134119.70313253012</v>
      </c>
      <c r="EX9" s="34">
        <f t="shared" si="117"/>
        <v>7.1152300176951899E-2</v>
      </c>
      <c r="EY9" s="13">
        <v>176.62</v>
      </c>
      <c r="EZ9" s="38">
        <f t="shared" si="118"/>
        <v>4.8930359581247935E-3</v>
      </c>
      <c r="FA9" s="14">
        <f t="shared" si="119"/>
        <v>3.4815076326911477E-4</v>
      </c>
      <c r="FB9" s="15">
        <f>EY9*$L9</f>
        <v>134775.95566265061</v>
      </c>
      <c r="FC9" s="34">
        <f t="shared" si="121"/>
        <v>7.1150374809348646E-2</v>
      </c>
      <c r="FD9" s="13">
        <v>175.12</v>
      </c>
      <c r="FE9" s="38">
        <f t="shared" si="122"/>
        <v>-8.4928094213565838E-3</v>
      </c>
      <c r="FF9" s="14">
        <f t="shared" si="123"/>
        <v>-6.0426657351388829E-4</v>
      </c>
      <c r="FG9" s="15">
        <f>FD9*$L9</f>
        <v>133631.32915662651</v>
      </c>
      <c r="FH9" s="34">
        <f t="shared" si="125"/>
        <v>7.1825741331120074E-2</v>
      </c>
      <c r="FI9" s="13">
        <v>174.83</v>
      </c>
      <c r="FJ9" s="38">
        <f t="shared" si="126"/>
        <v>-1.6560073092735954E-3</v>
      </c>
      <c r="FK9" s="14">
        <f t="shared" si="127"/>
        <v>-1.1894395263832942E-4</v>
      </c>
      <c r="FL9" s="15">
        <f>FI9*$L9</f>
        <v>133410.03469879521</v>
      </c>
      <c r="FM9" s="34">
        <f t="shared" si="129"/>
        <v>7.1288691641679905E-2</v>
      </c>
      <c r="FN9" s="13">
        <v>174.71</v>
      </c>
      <c r="FO9" s="38">
        <f t="shared" si="130"/>
        <v>-6.8638105588288362E-4</v>
      </c>
      <c r="FP9" s="14">
        <f t="shared" si="131"/>
        <v>-4.8931207441525555E-5</v>
      </c>
      <c r="FQ9" s="15">
        <f>FN9*$L9</f>
        <v>133318.46457831326</v>
      </c>
      <c r="FR9" s="34">
        <f t="shared" si="133"/>
        <v>7.10190422399819E-2</v>
      </c>
      <c r="FS9" s="13">
        <v>174.56</v>
      </c>
      <c r="FT9" s="38">
        <f t="shared" si="134"/>
        <v>-8.5856562303248632E-4</v>
      </c>
      <c r="FU9" s="14">
        <f t="shared" si="135"/>
        <v>-6.0974508247940522E-5</v>
      </c>
      <c r="FV9" s="15">
        <f>FS9*$L9</f>
        <v>133204.00192771087</v>
      </c>
      <c r="FW9" s="34">
        <f t="shared" si="137"/>
        <v>7.0958067731733979E-2</v>
      </c>
      <c r="FX9" s="13">
        <v>172.43</v>
      </c>
      <c r="FY9" s="38">
        <f t="shared" si="138"/>
        <v>-1.2202108157653503E-2</v>
      </c>
      <c r="FZ9" s="14">
        <f t="shared" si="139"/>
        <v>-8.6583801712072092E-4</v>
      </c>
      <c r="GA9" s="15">
        <f>FX9*$L9</f>
        <v>131578.63228915664</v>
      </c>
      <c r="GB9" s="34">
        <f t="shared" si="141"/>
        <v>7.1220477024433793E-2</v>
      </c>
      <c r="GC9" s="13">
        <v>174.88</v>
      </c>
      <c r="GD9" s="38">
        <f t="shared" si="142"/>
        <v>1.4208664385547692E-2</v>
      </c>
      <c r="GE9" s="14">
        <f t="shared" si="143"/>
        <v>1.0119478554187901E-3</v>
      </c>
      <c r="GF9" s="15">
        <f>GC9*$L9</f>
        <v>133448.18891566264</v>
      </c>
      <c r="GG9" s="34">
        <f t="shared" si="145"/>
        <v>7.1699025609908984E-2</v>
      </c>
      <c r="GH9" s="13">
        <v>174.35</v>
      </c>
      <c r="GI9" s="38">
        <f t="shared" si="146"/>
        <v>-3.0306495882891191E-3</v>
      </c>
      <c r="GJ9" s="14">
        <f t="shared" si="147"/>
        <v>-2.1729462244540166E-4</v>
      </c>
      <c r="GK9" s="15">
        <f>GH9*$L9</f>
        <v>133043.75421686747</v>
      </c>
      <c r="GL9" s="34">
        <f t="shared" si="149"/>
        <v>7.1348077986870859E-2</v>
      </c>
      <c r="GM9" s="13">
        <v>163.09</v>
      </c>
      <c r="GN9" s="38">
        <f t="shared" si="150"/>
        <v>-6.4582735876111214E-2</v>
      </c>
      <c r="GO9" s="14">
        <f t="shared" si="151"/>
        <v>4.1709297732435424E-3</v>
      </c>
      <c r="GP9" s="15">
        <f>GM9*$L9</f>
        <v>124451.42457831326</v>
      </c>
      <c r="GQ9" s="34">
        <f t="shared" si="153"/>
        <v>6.7702055041191228E-2</v>
      </c>
      <c r="GR9" s="13">
        <v>161.08000000000001</v>
      </c>
      <c r="GS9" s="38">
        <f t="shared" si="154"/>
        <v>-1.2324483414065798E-2</v>
      </c>
      <c r="GT9" s="14">
        <f t="shared" si="155"/>
        <v>-8.34392854453331E-4</v>
      </c>
      <c r="GU9" s="15">
        <f>GR9*$L9</f>
        <v>122917.62506024099</v>
      </c>
      <c r="GV9" s="34">
        <f t="shared" si="157"/>
        <v>6.7252072824598788E-2</v>
      </c>
      <c r="GW9" s="13">
        <v>161.08000000000001</v>
      </c>
      <c r="GX9" s="38">
        <f t="shared" si="158"/>
        <v>0</v>
      </c>
      <c r="GY9" s="14">
        <f t="shared" si="159"/>
        <v>0</v>
      </c>
      <c r="GZ9" s="15">
        <f>GW9*$L9</f>
        <v>122917.62506024099</v>
      </c>
      <c r="HA9" s="34">
        <f t="shared" si="161"/>
        <v>6.7439730313528234E-2</v>
      </c>
      <c r="HB9" s="13">
        <v>154.38999999999999</v>
      </c>
      <c r="HC9" s="38">
        <f t="shared" si="162"/>
        <v>-4.1532157933946025E-2</v>
      </c>
      <c r="HD9" s="14">
        <f t="shared" si="163"/>
        <v>-2.8009175304041819E-3</v>
      </c>
      <c r="HE9" s="15">
        <f>HB9*$L9</f>
        <v>117812.59084337349</v>
      </c>
      <c r="HF9" s="34">
        <f t="shared" si="165"/>
        <v>6.3298333508199037E-2</v>
      </c>
      <c r="HG9" s="13">
        <v>157.26</v>
      </c>
      <c r="HH9" s="38">
        <f t="shared" si="166"/>
        <v>1.858928687091136E-2</v>
      </c>
      <c r="HI9" s="14">
        <f t="shared" si="167"/>
        <v>1.176670880034533E-3</v>
      </c>
      <c r="HJ9" s="15">
        <f>HG9*$L9</f>
        <v>120002.64289156627</v>
      </c>
      <c r="HK9" s="34">
        <f t="shared" si="169"/>
        <v>6.6571334773162752E-2</v>
      </c>
      <c r="HL9" s="13">
        <v>164.51</v>
      </c>
      <c r="HM9" s="38">
        <f t="shared" si="170"/>
        <v>4.6101996693374031E-2</v>
      </c>
      <c r="HN9" s="14">
        <f t="shared" si="171"/>
        <v>2.1253940991158701E-3</v>
      </c>
      <c r="HO9" s="15">
        <f>HL9*$L9</f>
        <v>125535.0043373494</v>
      </c>
      <c r="HP9" s="34">
        <f t="shared" si="173"/>
        <v>6.8179467816635808E-2</v>
      </c>
    </row>
    <row r="10" spans="2:224" s="5" customFormat="1" ht="18" customHeight="1" x14ac:dyDescent="0.45">
      <c r="B10" s="282">
        <v>4</v>
      </c>
      <c r="C10" s="280" t="s">
        <v>6</v>
      </c>
      <c r="D10" s="172" t="s">
        <v>123</v>
      </c>
      <c r="E10" s="11">
        <v>109</v>
      </c>
      <c r="F10" s="12">
        <v>125687</v>
      </c>
      <c r="G10" s="170">
        <f t="shared" si="22"/>
        <v>6.6595207616270191E-2</v>
      </c>
      <c r="H10" s="168">
        <v>7.06</v>
      </c>
      <c r="I10" s="13">
        <v>104.62</v>
      </c>
      <c r="J10" s="38">
        <f t="shared" si="23"/>
        <v>-4.0183486238532067E-2</v>
      </c>
      <c r="K10" s="14">
        <f t="shared" si="24"/>
        <v>-2.6760276088005791E-3</v>
      </c>
      <c r="L10" s="15">
        <f t="shared" si="25"/>
        <v>1153.0917431192661</v>
      </c>
      <c r="M10" s="16">
        <f t="shared" si="26"/>
        <v>120636.45816513762</v>
      </c>
      <c r="N10" s="17">
        <f t="shared" si="27"/>
        <v>6.7404701132572395E-2</v>
      </c>
      <c r="O10" s="13">
        <v>102.78</v>
      </c>
      <c r="P10" s="38">
        <f t="shared" si="0"/>
        <v>-1.7587459376792233E-2</v>
      </c>
      <c r="Q10" s="14">
        <f t="shared" si="1"/>
        <v>-1.1854774429739384E-3</v>
      </c>
      <c r="R10" s="15">
        <f t="shared" si="2"/>
        <v>118514.76935779817</v>
      </c>
      <c r="S10" s="34">
        <f t="shared" si="28"/>
        <v>6.680324719354809E-2</v>
      </c>
      <c r="T10" s="13">
        <v>102.75</v>
      </c>
      <c r="U10" s="38">
        <f t="shared" si="3"/>
        <v>-2.9188558085231696E-4</v>
      </c>
      <c r="V10" s="14">
        <f t="shared" si="4"/>
        <v>-1.9498904609909697E-5</v>
      </c>
      <c r="W10" s="15">
        <f t="shared" si="29"/>
        <v>118480.17660550459</v>
      </c>
      <c r="X10" s="34">
        <f t="shared" si="30"/>
        <v>6.6887408385753744E-2</v>
      </c>
      <c r="Y10" s="13">
        <v>104.62</v>
      </c>
      <c r="Z10" s="38">
        <f t="shared" si="5"/>
        <v>1.8199513381995179E-2</v>
      </c>
      <c r="AA10" s="14">
        <f t="shared" si="31"/>
        <v>1.2173182840035019E-3</v>
      </c>
      <c r="AB10" s="15">
        <f t="shared" si="32"/>
        <v>120636.45816513762</v>
      </c>
      <c r="AC10" s="34">
        <f t="shared" si="33"/>
        <v>6.7327589407764857E-2</v>
      </c>
      <c r="AD10" s="13">
        <v>102.05</v>
      </c>
      <c r="AE10" s="38">
        <f t="shared" si="6"/>
        <v>-2.4565092716497872E-2</v>
      </c>
      <c r="AF10" s="14">
        <f t="shared" si="7"/>
        <v>-1.6539084761800437E-3</v>
      </c>
      <c r="AG10" s="15">
        <f t="shared" si="34"/>
        <v>117673.0123853211</v>
      </c>
      <c r="AH10" s="34">
        <f t="shared" si="35"/>
        <v>6.6799423801273947E-2</v>
      </c>
      <c r="AI10" s="13">
        <v>99.49</v>
      </c>
      <c r="AJ10" s="38">
        <f t="shared" si="8"/>
        <v>-2.5085742283194535E-2</v>
      </c>
      <c r="AK10" s="14">
        <f t="shared" si="9"/>
        <v>-1.6757131301446493E-3</v>
      </c>
      <c r="AL10" s="15">
        <f t="shared" si="36"/>
        <v>114721.09752293577</v>
      </c>
      <c r="AM10" s="34">
        <f t="shared" si="37"/>
        <v>6.6486987880857398E-2</v>
      </c>
      <c r="AN10" s="13">
        <v>101.3</v>
      </c>
      <c r="AO10" s="38">
        <f t="shared" si="38"/>
        <v>1.8192783194290907E-2</v>
      </c>
      <c r="AP10" s="14">
        <f t="shared" si="10"/>
        <v>1.2095833557578856E-3</v>
      </c>
      <c r="AQ10" s="15">
        <f t="shared" si="39"/>
        <v>116808.19357798166</v>
      </c>
      <c r="AR10" s="34">
        <f t="shared" si="40"/>
        <v>6.6989979021893145E-2</v>
      </c>
      <c r="AS10" s="13">
        <v>102.22</v>
      </c>
      <c r="AT10" s="38">
        <f t="shared" si="11"/>
        <v>9.0819348469891575E-3</v>
      </c>
      <c r="AU10" s="14">
        <f t="shared" si="12"/>
        <v>6.0839862487800395E-4</v>
      </c>
      <c r="AV10" s="15">
        <f t="shared" si="41"/>
        <v>117869.03798165137</v>
      </c>
      <c r="AW10" s="34">
        <f t="shared" si="42"/>
        <v>6.7549667015648199E-2</v>
      </c>
      <c r="AX10" s="13">
        <v>101.12</v>
      </c>
      <c r="AY10" s="38">
        <f t="shared" si="13"/>
        <v>-1.0761103502249993E-2</v>
      </c>
      <c r="AZ10" s="14">
        <f t="shared" si="14"/>
        <v>-7.2690895829791266E-4</v>
      </c>
      <c r="BA10" s="15">
        <f t="shared" si="43"/>
        <v>116600.63706422019</v>
      </c>
      <c r="BB10" s="34">
        <f t="shared" si="44"/>
        <v>6.6672659959556374E-2</v>
      </c>
      <c r="BC10" s="13">
        <v>102.66</v>
      </c>
      <c r="BD10" s="38">
        <f t="shared" si="15"/>
        <v>1.5229430379746755E-2</v>
      </c>
      <c r="BE10" s="14">
        <f t="shared" si="16"/>
        <v>1.015386633086593E-3</v>
      </c>
      <c r="BF10" s="15">
        <f t="shared" si="45"/>
        <v>118376.39834862386</v>
      </c>
      <c r="BG10" s="34">
        <f t="shared" si="46"/>
        <v>6.7722186139002299E-2</v>
      </c>
      <c r="BH10" s="13">
        <v>106.26</v>
      </c>
      <c r="BI10" s="38">
        <f t="shared" si="17"/>
        <v>3.506721215663363E-2</v>
      </c>
      <c r="BJ10" s="14">
        <f t="shared" si="18"/>
        <v>2.374828269047427E-3</v>
      </c>
      <c r="BK10" s="15">
        <f t="shared" si="47"/>
        <v>122527.52862385321</v>
      </c>
      <c r="BL10" s="34">
        <f t="shared" si="48"/>
        <v>6.8337193143891903E-2</v>
      </c>
      <c r="BM10" s="13">
        <v>105.95</v>
      </c>
      <c r="BN10" s="38">
        <f t="shared" si="19"/>
        <v>-2.9173724825898952E-3</v>
      </c>
      <c r="BO10" s="14">
        <f t="shared" si="20"/>
        <v>-1.993650468154211E-4</v>
      </c>
      <c r="BP10" s="15">
        <f t="shared" si="49"/>
        <v>122170.07018348624</v>
      </c>
      <c r="BQ10" s="34">
        <f t="shared" si="50"/>
        <v>6.8356586044835799E-2</v>
      </c>
      <c r="BR10" s="13">
        <v>106.67</v>
      </c>
      <c r="BS10" s="38">
        <f t="shared" si="51"/>
        <v>6.7956583294006495E-3</v>
      </c>
      <c r="BT10" s="14">
        <f t="shared" si="52"/>
        <v>4.6452800332498061E-4</v>
      </c>
      <c r="BU10" s="15">
        <f t="shared" ref="BU10:BU11" si="174">BR10*$L10</f>
        <v>123000.29623853212</v>
      </c>
      <c r="BV10" s="34">
        <f t="shared" si="54"/>
        <v>6.8703822475945003E-2</v>
      </c>
      <c r="BW10" s="13">
        <v>106.05</v>
      </c>
      <c r="BX10" s="38">
        <f t="shared" si="55"/>
        <v>-5.8123183650511346E-3</v>
      </c>
      <c r="BY10" s="14">
        <f t="shared" si="56"/>
        <v>-3.9932848912614807E-4</v>
      </c>
      <c r="BZ10" s="15">
        <f t="shared" ref="BZ10:BZ11" si="175">BW10*$L10</f>
        <v>122285.37935779817</v>
      </c>
      <c r="CA10" s="34">
        <f t="shared" si="58"/>
        <v>6.8854000586974995E-2</v>
      </c>
      <c r="CB10" s="13">
        <v>103.78</v>
      </c>
      <c r="CC10" s="38">
        <f t="shared" si="59"/>
        <v>-2.1404997642621368E-2</v>
      </c>
      <c r="CD10" s="14">
        <f t="shared" si="60"/>
        <v>-1.4738197202492501E-3</v>
      </c>
      <c r="CE10" s="15">
        <f t="shared" ref="CE10:CE11" si="176">CB10*$L10</f>
        <v>119667.86110091743</v>
      </c>
      <c r="CF10" s="34">
        <f t="shared" si="62"/>
        <v>6.848473593739593E-2</v>
      </c>
      <c r="CG10" s="13">
        <v>104.09</v>
      </c>
      <c r="CH10" s="38">
        <f t="shared" si="63"/>
        <v>2.9870880709192741E-3</v>
      </c>
      <c r="CI10" s="14">
        <f t="shared" si="64"/>
        <v>2.0456993775865189E-4</v>
      </c>
      <c r="CJ10" s="15">
        <f t="shared" ref="CJ10:CJ11" si="177">CG10*$L10</f>
        <v>120025.31954128441</v>
      </c>
      <c r="CK10" s="34">
        <f t="shared" si="66"/>
        <v>6.7839146351195673E-2</v>
      </c>
      <c r="CL10" s="13">
        <v>105.9</v>
      </c>
      <c r="CM10" s="38">
        <f t="shared" si="67"/>
        <v>1.7388798155442427E-2</v>
      </c>
      <c r="CN10" s="14">
        <f t="shared" si="68"/>
        <v>1.1796412229384602E-3</v>
      </c>
      <c r="CO10" s="15">
        <f t="shared" ref="CO10:CO11" si="178">CL10*$L10</f>
        <v>122112.41559633029</v>
      </c>
      <c r="CP10" s="34">
        <f t="shared" si="70"/>
        <v>6.9104476721414496E-2</v>
      </c>
      <c r="CQ10" s="13">
        <v>106.27</v>
      </c>
      <c r="CR10" s="38">
        <f t="shared" si="71"/>
        <v>3.4938621340886715E-3</v>
      </c>
      <c r="CS10" s="14">
        <f t="shared" si="72"/>
        <v>2.4144151451296216E-4</v>
      </c>
      <c r="CT10" s="15">
        <f t="shared" ref="CT10:CT11" si="179">CQ10*$L10</f>
        <v>122539.0595412844</v>
      </c>
      <c r="CU10" s="34">
        <f t="shared" si="21"/>
        <v>6.831271662168921E-2</v>
      </c>
      <c r="CV10" s="13">
        <v>106.85</v>
      </c>
      <c r="CW10" s="38">
        <f t="shared" si="74"/>
        <v>5.4577961795426585E-3</v>
      </c>
      <c r="CX10" s="14">
        <f t="shared" si="75"/>
        <v>2.9787539137430441E-5</v>
      </c>
      <c r="CY10" s="15">
        <f t="shared" ref="CY10:CY11" si="180">CV10*$L10</f>
        <v>123207.85275229358</v>
      </c>
      <c r="CZ10" s="34">
        <f t="shared" si="77"/>
        <v>6.8781159984723686E-2</v>
      </c>
      <c r="DA10" s="13">
        <v>105.71</v>
      </c>
      <c r="DB10" s="38">
        <f t="shared" si="78"/>
        <v>-1.0669162377164254E-2</v>
      </c>
      <c r="DC10" s="14">
        <f t="shared" si="79"/>
        <v>-7.3383736436672948E-4</v>
      </c>
      <c r="DD10" s="15">
        <f t="shared" ref="DD10:DD11" si="181">DA10*$L10</f>
        <v>121893.32816513762</v>
      </c>
      <c r="DE10" s="34">
        <f t="shared" si="81"/>
        <v>6.827945660512344E-2</v>
      </c>
      <c r="DF10" s="13">
        <v>109.65</v>
      </c>
      <c r="DG10" s="38">
        <f t="shared" si="82"/>
        <v>3.7271781288430728E-2</v>
      </c>
      <c r="DH10" s="14">
        <f t="shared" si="83"/>
        <v>2.5448969730790575E-3</v>
      </c>
      <c r="DI10" s="15">
        <f t="shared" ref="DI10:DI11" si="182">DF10*$L10</f>
        <v>126436.50963302753</v>
      </c>
      <c r="DJ10" s="34">
        <f t="shared" si="85"/>
        <v>6.8691951990719424E-2</v>
      </c>
      <c r="DK10" s="13">
        <v>107.17</v>
      </c>
      <c r="DL10" s="38">
        <f t="shared" si="86"/>
        <v>-2.2617419060647549E-2</v>
      </c>
      <c r="DM10" s="14">
        <f t="shared" si="87"/>
        <v>-1.5536346642679839E-3</v>
      </c>
      <c r="DN10" s="15">
        <f t="shared" ref="DN10:DN11" si="183">DK10*$L10</f>
        <v>123576.84211009175</v>
      </c>
      <c r="DO10" s="34">
        <f t="shared" si="89"/>
        <v>6.7840461758148354E-2</v>
      </c>
      <c r="DP10" s="13">
        <v>106.17</v>
      </c>
      <c r="DQ10" s="38">
        <f t="shared" si="90"/>
        <v>-9.3309694877297747E-3</v>
      </c>
      <c r="DR10" s="14">
        <f t="shared" si="91"/>
        <v>-6.3301727869878089E-4</v>
      </c>
      <c r="DS10" s="15">
        <f t="shared" ref="DS10:DS11" si="184">DP10*$L10</f>
        <v>122423.75036697248</v>
      </c>
      <c r="DT10" s="34">
        <f t="shared" si="93"/>
        <v>6.7728369385479034E-2</v>
      </c>
      <c r="DU10" s="13">
        <v>106.88</v>
      </c>
      <c r="DV10" s="38">
        <f t="shared" si="94"/>
        <v>6.6873881510784005E-3</v>
      </c>
      <c r="DW10" s="14">
        <f t="shared" si="95"/>
        <v>4.4721160283183787E-5</v>
      </c>
      <c r="DX10" s="15">
        <f t="shared" ref="DX10:DX11" si="185">DU10*$L10</f>
        <v>123242.44550458716</v>
      </c>
      <c r="DY10" s="34">
        <f t="shared" si="97"/>
        <v>6.6870258913261593E-2</v>
      </c>
      <c r="DZ10" s="13">
        <v>107.96</v>
      </c>
      <c r="EA10" s="38">
        <f t="shared" si="98"/>
        <v>1.0104790419161661E-2</v>
      </c>
      <c r="EB10" s="14">
        <f t="shared" si="99"/>
        <v>6.7570995159358543E-4</v>
      </c>
      <c r="EC10" s="15">
        <f t="shared" ref="EC10:EC11" si="186">DZ10*$L10</f>
        <v>124487.78458715595</v>
      </c>
      <c r="ED10" s="34">
        <f t="shared" si="101"/>
        <v>6.7150342711301589E-2</v>
      </c>
      <c r="EE10" s="13">
        <v>107.97</v>
      </c>
      <c r="EF10" s="38">
        <f t="shared" si="102"/>
        <v>9.2626898851473846E-5</v>
      </c>
      <c r="EG10" s="14">
        <f t="shared" si="103"/>
        <v>6.219928002161536E-6</v>
      </c>
      <c r="EH10" s="15">
        <f t="shared" ref="EH10:EH11" si="187">EE10*$L10</f>
        <v>124499.31550458715</v>
      </c>
      <c r="EI10" s="34">
        <f t="shared" si="105"/>
        <v>6.7348301371950511E-2</v>
      </c>
      <c r="EJ10" s="13">
        <v>108.87</v>
      </c>
      <c r="EK10" s="38">
        <f t="shared" si="106"/>
        <v>8.3356487913309775E-3</v>
      </c>
      <c r="EL10" s="14">
        <f t="shared" si="107"/>
        <v>5.6139178692929371E-4</v>
      </c>
      <c r="EM10" s="15">
        <f t="shared" ref="EM10:EM11" si="188">EJ10*$L10</f>
        <v>125537.0980733945</v>
      </c>
      <c r="EN10" s="34">
        <f t="shared" si="109"/>
        <v>6.6729020472020714E-2</v>
      </c>
      <c r="EO10" s="13">
        <v>109.58</v>
      </c>
      <c r="EP10" s="38">
        <f t="shared" si="110"/>
        <v>6.5215394507209855E-3</v>
      </c>
      <c r="EQ10" s="14">
        <f t="shared" si="111"/>
        <v>4.3517593951625136E-4</v>
      </c>
      <c r="ER10" s="15">
        <f t="shared" ref="ER10:ER11" si="189">EO10*$L10</f>
        <v>126355.79321100918</v>
      </c>
      <c r="ES10" s="34">
        <f t="shared" si="113"/>
        <v>6.6607239036349492E-2</v>
      </c>
      <c r="ET10" s="13">
        <v>108.77</v>
      </c>
      <c r="EU10" s="38">
        <f t="shared" si="114"/>
        <v>-7.3918598284358665E-3</v>
      </c>
      <c r="EV10" s="14">
        <f t="shared" si="115"/>
        <v>5.463959172324392E-5</v>
      </c>
      <c r="EW10" s="15">
        <f t="shared" ref="EW10:EW11" si="190">ET10*$L10</f>
        <v>125421.78889908257</v>
      </c>
      <c r="EX10" s="34">
        <f t="shared" si="117"/>
        <v>6.6537940094152564E-2</v>
      </c>
      <c r="EY10" s="13">
        <v>109.8</v>
      </c>
      <c r="EZ10" s="38">
        <f t="shared" si="118"/>
        <v>9.4695228463730925E-3</v>
      </c>
      <c r="FA10" s="14">
        <f t="shared" si="119"/>
        <v>6.300825438721819E-4</v>
      </c>
      <c r="FB10" s="15">
        <f t="shared" ref="FB10:FB11" si="191">EY10*$L10</f>
        <v>126609.47339449541</v>
      </c>
      <c r="FC10" s="34">
        <f t="shared" si="121"/>
        <v>6.6839158677388669E-2</v>
      </c>
      <c r="FD10" s="13">
        <v>107.43</v>
      </c>
      <c r="FE10" s="38">
        <f t="shared" si="122"/>
        <v>-2.1584699453551823E-2</v>
      </c>
      <c r="FF10" s="14">
        <f t="shared" si="123"/>
        <v>-1.4427031517796948E-3</v>
      </c>
      <c r="FG10" s="15">
        <f t="shared" ref="FG10" si="192">FD10*$L10</f>
        <v>123876.64596330277</v>
      </c>
      <c r="FH10" s="34">
        <f t="shared" si="125"/>
        <v>6.6582679272001483E-2</v>
      </c>
      <c r="FI10" s="13">
        <v>107.71</v>
      </c>
      <c r="FJ10" s="38">
        <f t="shared" si="126"/>
        <v>2.6063483198360505E-3</v>
      </c>
      <c r="FK10" s="14">
        <f t="shared" si="127"/>
        <v>1.735376542507637E-4</v>
      </c>
      <c r="FL10" s="15">
        <f t="shared" ref="FL10" si="193">FI10*$L10</f>
        <v>124199.51165137615</v>
      </c>
      <c r="FM10" s="34">
        <f t="shared" si="129"/>
        <v>6.636697687810543E-2</v>
      </c>
      <c r="FN10" s="13">
        <v>107.87</v>
      </c>
      <c r="FO10" s="38">
        <f t="shared" si="130"/>
        <v>1.4854702441742718E-3</v>
      </c>
      <c r="FP10" s="14">
        <f t="shared" si="131"/>
        <v>9.858616934822752E-5</v>
      </c>
      <c r="FQ10" s="15">
        <f t="shared" ref="FQ10:FQ11" si="194">FN10*$L10</f>
        <v>124384.00633027524</v>
      </c>
      <c r="FR10" s="34">
        <f t="shared" si="133"/>
        <v>6.6259636483879433E-2</v>
      </c>
      <c r="FS10" s="13">
        <v>109.96</v>
      </c>
      <c r="FT10" s="38">
        <f t="shared" si="134"/>
        <v>1.9375173820339195E-2</v>
      </c>
      <c r="FU10" s="14">
        <f t="shared" si="135"/>
        <v>1.2837919741476526E-3</v>
      </c>
      <c r="FV10" s="15">
        <f t="shared" ref="FV10:FV11" si="195">FS10*$L10</f>
        <v>126793.96807339448</v>
      </c>
      <c r="FW10" s="34">
        <f t="shared" si="137"/>
        <v>6.7543428458027091E-2</v>
      </c>
      <c r="FX10" s="13">
        <v>106.69</v>
      </c>
      <c r="FY10" s="38">
        <f t="shared" si="138"/>
        <v>-2.9738086576937033E-2</v>
      </c>
      <c r="FZ10" s="14">
        <f t="shared" si="139"/>
        <v>-2.0086123231879624E-3</v>
      </c>
      <c r="GA10" s="15">
        <f t="shared" ref="GA10:GA11" si="196">FX10*$L10</f>
        <v>123023.3580733945</v>
      </c>
      <c r="GB10" s="34">
        <f t="shared" si="141"/>
        <v>6.6589704534092048E-2</v>
      </c>
      <c r="GC10" s="13">
        <v>107.54</v>
      </c>
      <c r="GD10" s="38">
        <f t="shared" si="142"/>
        <v>7.9670072171713242E-3</v>
      </c>
      <c r="GE10" s="14">
        <f t="shared" si="143"/>
        <v>5.3052065661241736E-4</v>
      </c>
      <c r="GF10" s="15">
        <f t="shared" ref="GF10:GF11" si="197">GC10*$L10</f>
        <v>124003.48605504588</v>
      </c>
      <c r="GG10" s="34">
        <f t="shared" si="145"/>
        <v>6.6624576883524939E-2</v>
      </c>
      <c r="GH10" s="13">
        <v>106.91</v>
      </c>
      <c r="GI10" s="38">
        <f t="shared" si="146"/>
        <v>-5.8582852891948074E-3</v>
      </c>
      <c r="GJ10" s="14">
        <f t="shared" si="147"/>
        <v>-3.9030577865558258E-4</v>
      </c>
      <c r="GK10" s="15">
        <f t="shared" ref="GK10:GK11" si="198">GH10*$L10</f>
        <v>123277.03825688074</v>
      </c>
      <c r="GL10" s="34">
        <f t="shared" si="149"/>
        <v>6.6110429544893837E-2</v>
      </c>
      <c r="GM10" s="13">
        <v>105.35</v>
      </c>
      <c r="GN10" s="38">
        <f t="shared" si="150"/>
        <v>-1.4591712655504652E-2</v>
      </c>
      <c r="GO10" s="14">
        <f t="shared" si="151"/>
        <v>2.1291807822081463E-4</v>
      </c>
      <c r="GP10" s="15">
        <f t="shared" ref="GP10:GP11" si="199">GM10*$L10</f>
        <v>121478.21513761468</v>
      </c>
      <c r="GQ10" s="34">
        <f t="shared" si="153"/>
        <v>6.6084617636314444E-2</v>
      </c>
      <c r="GR10" s="13">
        <v>104.29</v>
      </c>
      <c r="GS10" s="38">
        <f t="shared" si="154"/>
        <v>-1.0061699098243835E-2</v>
      </c>
      <c r="GT10" s="14">
        <f t="shared" si="155"/>
        <v>-6.6492353767909373E-4</v>
      </c>
      <c r="GU10" s="15">
        <f t="shared" ref="GU10:GU11" si="200">GR10*$L10</f>
        <v>120255.93788990827</v>
      </c>
      <c r="GV10" s="34">
        <f t="shared" si="157"/>
        <v>6.5795780618108562E-2</v>
      </c>
      <c r="GW10" s="13">
        <v>103.79</v>
      </c>
      <c r="GX10" s="38">
        <f t="shared" si="158"/>
        <v>-4.7943235209511933E-3</v>
      </c>
      <c r="GY10" s="14">
        <f t="shared" si="159"/>
        <v>-3.1544625859674253E-4</v>
      </c>
      <c r="GZ10" s="15">
        <f t="shared" ref="GZ10:GZ11" si="201">GW10*$L10</f>
        <v>119679.39201834863</v>
      </c>
      <c r="HA10" s="34">
        <f t="shared" si="161"/>
        <v>6.5663048060429482E-2</v>
      </c>
      <c r="HB10" s="13">
        <v>100.95</v>
      </c>
      <c r="HC10" s="38">
        <f t="shared" si="162"/>
        <v>-2.7362944406975655E-2</v>
      </c>
      <c r="HD10" s="14">
        <f t="shared" si="163"/>
        <v>-1.7967343336701025E-3</v>
      </c>
      <c r="HE10" s="15">
        <f t="shared" ref="HE10:HE11" si="202">HB10*$L10</f>
        <v>116404.61146788992</v>
      </c>
      <c r="HF10" s="34">
        <f t="shared" si="165"/>
        <v>6.2541854532191202E-2</v>
      </c>
      <c r="HG10" s="13">
        <v>103.44</v>
      </c>
      <c r="HH10" s="38">
        <f t="shared" si="166"/>
        <v>2.466567607726592E-2</v>
      </c>
      <c r="HI10" s="14">
        <f t="shared" si="167"/>
        <v>1.5426371251625137E-3</v>
      </c>
      <c r="HJ10" s="15">
        <f t="shared" ref="HJ10:HJ11" si="203">HG10*$L10</f>
        <v>119275.80990825688</v>
      </c>
      <c r="HK10" s="34">
        <f t="shared" si="169"/>
        <v>6.6168124971360404E-2</v>
      </c>
      <c r="HL10" s="13">
        <v>105.41</v>
      </c>
      <c r="HM10" s="38">
        <f t="shared" si="170"/>
        <v>1.9044856921887073E-2</v>
      </c>
      <c r="HN10" s="14">
        <f t="shared" si="171"/>
        <v>3.6270657517514993E-4</v>
      </c>
      <c r="HO10" s="15">
        <f t="shared" ref="HO10:HO11" si="204">HL10*$L10</f>
        <v>121547.40064220183</v>
      </c>
      <c r="HP10" s="34">
        <f t="shared" si="173"/>
        <v>6.6013755557860473E-2</v>
      </c>
    </row>
    <row r="11" spans="2:224" s="5" customFormat="1" ht="18" customHeight="1" x14ac:dyDescent="0.45">
      <c r="B11" s="282">
        <v>5</v>
      </c>
      <c r="C11" s="280" t="s">
        <v>7</v>
      </c>
      <c r="D11" s="172" t="s">
        <v>124</v>
      </c>
      <c r="E11" s="11">
        <v>135</v>
      </c>
      <c r="F11" s="12">
        <v>122136</v>
      </c>
      <c r="G11" s="170">
        <f t="shared" si="22"/>
        <v>6.4713711660082399E-2</v>
      </c>
      <c r="H11" s="168">
        <v>6.05</v>
      </c>
      <c r="I11" s="13">
        <v>129.43</v>
      </c>
      <c r="J11" s="38">
        <f t="shared" si="23"/>
        <v>-4.1259259259259211E-2</v>
      </c>
      <c r="K11" s="14">
        <f t="shared" si="24"/>
        <v>-2.6700398070122855E-3</v>
      </c>
      <c r="L11" s="15">
        <f t="shared" si="25"/>
        <v>904.71111111111111</v>
      </c>
      <c r="M11" s="16">
        <f t="shared" si="26"/>
        <v>117096.75911111111</v>
      </c>
      <c r="N11" s="17">
        <f t="shared" si="27"/>
        <v>6.5426921276757158E-2</v>
      </c>
      <c r="O11" s="13">
        <v>130.01</v>
      </c>
      <c r="P11" s="38">
        <f t="shared" si="0"/>
        <v>4.4811867418680677E-3</v>
      </c>
      <c r="Q11" s="14">
        <f t="shared" si="1"/>
        <v>2.9319025218664996E-4</v>
      </c>
      <c r="R11" s="15">
        <f t="shared" si="2"/>
        <v>117621.49155555555</v>
      </c>
      <c r="S11" s="34">
        <f t="shared" si="28"/>
        <v>6.6299733090123852E-2</v>
      </c>
      <c r="T11" s="13">
        <v>129.26</v>
      </c>
      <c r="U11" s="38">
        <f t="shared" si="3"/>
        <v>-5.7687870163833557E-3</v>
      </c>
      <c r="V11" s="14">
        <f t="shared" si="4"/>
        <v>-3.8246903943998841E-4</v>
      </c>
      <c r="W11" s="15">
        <f t="shared" si="29"/>
        <v>116942.95822222221</v>
      </c>
      <c r="X11" s="34">
        <f t="shared" si="30"/>
        <v>6.6019579211907639E-2</v>
      </c>
      <c r="Y11" s="13">
        <v>130.84</v>
      </c>
      <c r="Z11" s="38">
        <f t="shared" si="5"/>
        <v>1.222342565372128E-2</v>
      </c>
      <c r="AA11" s="14">
        <f t="shared" si="31"/>
        <v>8.0698541818671591E-4</v>
      </c>
      <c r="AB11" s="15">
        <f t="shared" si="32"/>
        <v>118372.40177777778</v>
      </c>
      <c r="AC11" s="34">
        <f t="shared" si="33"/>
        <v>6.6064012366771771E-2</v>
      </c>
      <c r="AD11" s="13">
        <v>128.07</v>
      </c>
      <c r="AE11" s="38">
        <f t="shared" si="6"/>
        <v>-2.1170895750535081E-2</v>
      </c>
      <c r="AF11" s="14">
        <f t="shared" si="7"/>
        <v>-1.3986343186789855E-3</v>
      </c>
      <c r="AG11" s="15">
        <f t="shared" si="34"/>
        <v>115866.352</v>
      </c>
      <c r="AH11" s="34">
        <f t="shared" si="35"/>
        <v>6.5773837132778901E-2</v>
      </c>
      <c r="AI11" s="13">
        <v>124.9</v>
      </c>
      <c r="AJ11" s="38">
        <f t="shared" si="8"/>
        <v>-2.4752088701491277E-2</v>
      </c>
      <c r="AK11" s="14">
        <f t="shared" si="9"/>
        <v>-1.6280398509479839E-3</v>
      </c>
      <c r="AL11" s="15">
        <f t="shared" si="36"/>
        <v>112998.41777777778</v>
      </c>
      <c r="AM11" s="34">
        <f t="shared" si="37"/>
        <v>6.5488603191275613E-2</v>
      </c>
      <c r="AN11" s="13">
        <v>126.15</v>
      </c>
      <c r="AO11" s="38">
        <f t="shared" si="38"/>
        <v>1.0008006405124099E-2</v>
      </c>
      <c r="AP11" s="14">
        <f t="shared" si="10"/>
        <v>6.5541036020091688E-4</v>
      </c>
      <c r="AQ11" s="15">
        <f t="shared" si="39"/>
        <v>114129.30666666667</v>
      </c>
      <c r="AR11" s="34">
        <f t="shared" si="40"/>
        <v>6.5453626369789103E-2</v>
      </c>
      <c r="AS11" s="13">
        <v>127.66</v>
      </c>
      <c r="AT11" s="38">
        <f>(AS11-AN11)/AN11</f>
        <v>1.1969877130400245E-2</v>
      </c>
      <c r="AU11" s="14">
        <f t="shared" si="12"/>
        <v>7.8347186538550099E-4</v>
      </c>
      <c r="AV11" s="15">
        <f t="shared" si="41"/>
        <v>115495.42044444445</v>
      </c>
      <c r="AW11" s="34">
        <f t="shared" si="42"/>
        <v>6.6189368526694811E-2</v>
      </c>
      <c r="AX11" s="13">
        <v>127.97</v>
      </c>
      <c r="AY11" s="38">
        <f t="shared" si="13"/>
        <v>2.4283252389158882E-3</v>
      </c>
      <c r="AZ11" s="14">
        <f t="shared" si="14"/>
        <v>1.6072931414127796E-4</v>
      </c>
      <c r="BA11" s="15">
        <f t="shared" si="43"/>
        <v>115775.88088888889</v>
      </c>
      <c r="BB11" s="34">
        <f t="shared" si="44"/>
        <v>6.6201061438211056E-2</v>
      </c>
      <c r="BC11" s="13">
        <v>128.22999999999999</v>
      </c>
      <c r="BD11" s="38">
        <f t="shared" si="15"/>
        <v>2.0317261858247317E-3</v>
      </c>
      <c r="BE11" s="14">
        <f t="shared" si="16"/>
        <v>1.3450243005340526E-4</v>
      </c>
      <c r="BF11" s="15">
        <f t="shared" si="45"/>
        <v>116011.10577777778</v>
      </c>
      <c r="BG11" s="34">
        <f t="shared" si="46"/>
        <v>6.6369021268380943E-2</v>
      </c>
      <c r="BH11" s="13">
        <v>133.69999999999999</v>
      </c>
      <c r="BI11" s="38">
        <f t="shared" si="17"/>
        <v>4.2657724401466111E-2</v>
      </c>
      <c r="BJ11" s="14">
        <f t="shared" si="18"/>
        <v>2.831151418061637E-3</v>
      </c>
      <c r="BK11" s="15">
        <f t="shared" si="47"/>
        <v>120959.87555555554</v>
      </c>
      <c r="BL11" s="34">
        <f t="shared" si="48"/>
        <v>6.7462867090685136E-2</v>
      </c>
      <c r="BM11" s="13">
        <v>133.15</v>
      </c>
      <c r="BN11" s="38">
        <f t="shared" si="19"/>
        <v>-4.1136873597605308E-3</v>
      </c>
      <c r="BO11" s="14">
        <f t="shared" si="20"/>
        <v>-2.7752114360415616E-4</v>
      </c>
      <c r="BP11" s="15">
        <f t="shared" si="49"/>
        <v>120462.28444444445</v>
      </c>
      <c r="BQ11" s="34">
        <f t="shared" si="50"/>
        <v>6.7401045930619394E-2</v>
      </c>
      <c r="BR11" s="13">
        <v>134.16</v>
      </c>
      <c r="BS11" s="38">
        <f t="shared" si="51"/>
        <v>7.5854299662034613E-3</v>
      </c>
      <c r="BT11" s="14">
        <f t="shared" si="52"/>
        <v>5.1126591355557624E-4</v>
      </c>
      <c r="BU11" s="15">
        <f t="shared" si="174"/>
        <v>121376.04266666666</v>
      </c>
      <c r="BV11" s="34">
        <f t="shared" si="54"/>
        <v>6.7796569140221682E-2</v>
      </c>
      <c r="BW11" s="13">
        <v>130.80000000000001</v>
      </c>
      <c r="BX11" s="38">
        <f t="shared" si="55"/>
        <v>-2.5044722719141214E-2</v>
      </c>
      <c r="BY11" s="14">
        <f t="shared" si="56"/>
        <v>-1.697946275425938E-3</v>
      </c>
      <c r="BZ11" s="15">
        <f t="shared" si="175"/>
        <v>118336.21333333335</v>
      </c>
      <c r="CA11" s="34">
        <f t="shared" si="58"/>
        <v>6.6630383330402096E-2</v>
      </c>
      <c r="CB11" s="13">
        <v>127.96</v>
      </c>
      <c r="CC11" s="38">
        <f t="shared" si="59"/>
        <v>-2.1712538226299826E-2</v>
      </c>
      <c r="CD11" s="14">
        <f t="shared" si="60"/>
        <v>-1.4467147450943662E-3</v>
      </c>
      <c r="CE11" s="15">
        <f t="shared" si="176"/>
        <v>115766.83377777778</v>
      </c>
      <c r="CF11" s="34">
        <f t="shared" si="62"/>
        <v>6.6252216498576127E-2</v>
      </c>
      <c r="CG11" s="13">
        <v>129.08000000000001</v>
      </c>
      <c r="CH11" s="38">
        <f t="shared" si="63"/>
        <v>8.7527352297594469E-3</v>
      </c>
      <c r="CI11" s="14">
        <f t="shared" si="64"/>
        <v>5.798881093967373E-4</v>
      </c>
      <c r="CJ11" s="15">
        <f t="shared" si="177"/>
        <v>116780.11022222224</v>
      </c>
      <c r="CK11" s="34">
        <f t="shared" si="66"/>
        <v>6.6004931447394499E-2</v>
      </c>
      <c r="CL11" s="13">
        <v>131.85</v>
      </c>
      <c r="CM11" s="38">
        <f t="shared" si="67"/>
        <v>2.1459559962813617E-2</v>
      </c>
      <c r="CN11" s="14">
        <f t="shared" si="68"/>
        <v>1.4164367842367644E-3</v>
      </c>
      <c r="CO11" s="15">
        <f t="shared" si="178"/>
        <v>119286.15999999999</v>
      </c>
      <c r="CP11" s="34">
        <f t="shared" si="70"/>
        <v>6.7505074129044149E-2</v>
      </c>
      <c r="CQ11" s="13">
        <v>133.12</v>
      </c>
      <c r="CR11" s="38">
        <f t="shared" si="71"/>
        <v>9.6321577550247273E-3</v>
      </c>
      <c r="CS11" s="14">
        <f t="shared" si="72"/>
        <v>6.5021952327559164E-4</v>
      </c>
      <c r="CT11" s="15">
        <f t="shared" si="179"/>
        <v>120435.14311111112</v>
      </c>
      <c r="CU11" s="34">
        <f t="shared" si="21"/>
        <v>6.7139831441827669E-2</v>
      </c>
      <c r="CV11" s="13">
        <v>135.81</v>
      </c>
      <c r="CW11" s="38">
        <f t="shared" si="74"/>
        <v>2.0207331730769214E-2</v>
      </c>
      <c r="CX11" s="14">
        <f t="shared" si="75"/>
        <v>4.0833625567735231E-4</v>
      </c>
      <c r="CY11" s="15">
        <f t="shared" si="180"/>
        <v>122868.81600000001</v>
      </c>
      <c r="CZ11" s="34">
        <f t="shared" si="77"/>
        <v>6.8591891682588044E-2</v>
      </c>
      <c r="DA11" s="13">
        <v>131.91</v>
      </c>
      <c r="DB11" s="38">
        <f t="shared" si="78"/>
        <v>-2.8716589352772298E-2</v>
      </c>
      <c r="DC11" s="14">
        <f t="shared" si="79"/>
        <v>-1.9697251863787187E-3</v>
      </c>
      <c r="DD11" s="15">
        <f t="shared" si="181"/>
        <v>119340.44266666667</v>
      </c>
      <c r="DE11" s="34">
        <f t="shared" si="81"/>
        <v>6.6849438758908378E-2</v>
      </c>
      <c r="DF11" s="13">
        <v>137.51</v>
      </c>
      <c r="DG11" s="38">
        <f t="shared" si="82"/>
        <v>4.2453187779546618E-2</v>
      </c>
      <c r="DH11" s="14">
        <f t="shared" si="83"/>
        <v>2.837971776589239E-3</v>
      </c>
      <c r="DI11" s="15">
        <f t="shared" si="182"/>
        <v>124406.82488888888</v>
      </c>
      <c r="DJ11" s="34">
        <f t="shared" si="85"/>
        <v>6.7589240381506765E-2</v>
      </c>
      <c r="DK11" s="13">
        <v>133.46</v>
      </c>
      <c r="DL11" s="38">
        <f t="shared" si="86"/>
        <v>-2.9452403461566308E-2</v>
      </c>
      <c r="DM11" s="14">
        <f t="shared" si="87"/>
        <v>-1.9906655773769271E-3</v>
      </c>
      <c r="DN11" s="15">
        <f t="shared" si="183"/>
        <v>120742.74488888889</v>
      </c>
      <c r="DO11" s="34">
        <f t="shared" si="89"/>
        <v>6.6284616335406429E-2</v>
      </c>
      <c r="DP11" s="13">
        <v>131.52000000000001</v>
      </c>
      <c r="DQ11" s="38">
        <f t="shared" si="90"/>
        <v>-1.4536190618912016E-2</v>
      </c>
      <c r="DR11" s="14">
        <f t="shared" si="91"/>
        <v>-9.6352581815291717E-4</v>
      </c>
      <c r="DS11" s="15">
        <f t="shared" si="184"/>
        <v>118987.60533333334</v>
      </c>
      <c r="DT11" s="34">
        <f t="shared" si="93"/>
        <v>6.5827394293613395E-2</v>
      </c>
      <c r="DU11" s="13">
        <v>131.66999999999999</v>
      </c>
      <c r="DV11" s="38">
        <f t="shared" si="94"/>
        <v>1.1405109489049366E-3</v>
      </c>
      <c r="DW11" s="14">
        <f t="shared" si="95"/>
        <v>1.3007652245720388E-6</v>
      </c>
      <c r="DX11" s="15">
        <f t="shared" si="185"/>
        <v>119123.31199999999</v>
      </c>
      <c r="DY11" s="34">
        <f t="shared" si="97"/>
        <v>6.4635253572185483E-2</v>
      </c>
      <c r="DZ11" s="13">
        <v>132.19999999999999</v>
      </c>
      <c r="EA11" s="38">
        <f t="shared" si="98"/>
        <v>4.0252145515303501E-3</v>
      </c>
      <c r="EB11" s="14">
        <f t="shared" si="99"/>
        <v>2.6017076322061507E-4</v>
      </c>
      <c r="EC11" s="15">
        <f t="shared" si="186"/>
        <v>119602.80888888887</v>
      </c>
      <c r="ED11" s="34">
        <f t="shared" si="101"/>
        <v>6.4515322790569068E-2</v>
      </c>
      <c r="EE11" s="13">
        <v>132.83000000000001</v>
      </c>
      <c r="EF11" s="38">
        <f t="shared" si="102"/>
        <v>4.7655068078670494E-3</v>
      </c>
      <c r="EG11" s="14">
        <f t="shared" si="103"/>
        <v>3.0744820997019709E-4</v>
      </c>
      <c r="EH11" s="15">
        <f t="shared" si="187"/>
        <v>120172.7768888889</v>
      </c>
      <c r="EI11" s="34">
        <f t="shared" si="105"/>
        <v>6.5007846523612883E-2</v>
      </c>
      <c r="EJ11" s="13">
        <v>135.24</v>
      </c>
      <c r="EK11" s="38">
        <f t="shared" si="106"/>
        <v>1.8143491681096111E-2</v>
      </c>
      <c r="EL11" s="14">
        <f t="shared" si="107"/>
        <v>1.1794693226071431E-3</v>
      </c>
      <c r="EM11" s="15">
        <f t="shared" si="188"/>
        <v>122353.13066666668</v>
      </c>
      <c r="EN11" s="34">
        <f t="shared" si="109"/>
        <v>6.5036588278458526E-2</v>
      </c>
      <c r="EO11" s="13">
        <v>134.97</v>
      </c>
      <c r="EP11" s="38">
        <f t="shared" si="110"/>
        <v>-1.9964507542148051E-3</v>
      </c>
      <c r="EQ11" s="14">
        <f t="shared" si="111"/>
        <v>-1.2984234572008629E-4</v>
      </c>
      <c r="ER11" s="15">
        <f t="shared" si="189"/>
        <v>122108.85866666667</v>
      </c>
      <c r="ES11" s="34">
        <f t="shared" si="113"/>
        <v>6.4368508407716102E-2</v>
      </c>
      <c r="ET11" s="13">
        <v>133.74</v>
      </c>
      <c r="EU11" s="38">
        <f t="shared" si="114"/>
        <v>-9.1131362525004797E-3</v>
      </c>
      <c r="EV11" s="14">
        <f t="shared" si="115"/>
        <v>8.3049252356638486E-5</v>
      </c>
      <c r="EW11" s="15">
        <f t="shared" si="190"/>
        <v>120996.06400000001</v>
      </c>
      <c r="EX11" s="34">
        <f t="shared" si="117"/>
        <v>6.4190033715259345E-2</v>
      </c>
      <c r="EY11" s="13">
        <v>134.82</v>
      </c>
      <c r="EZ11" s="38">
        <f t="shared" si="118"/>
        <v>8.0753701211304322E-3</v>
      </c>
      <c r="FA11" s="14">
        <f t="shared" si="119"/>
        <v>5.1835828033856043E-4</v>
      </c>
      <c r="FB11" s="15">
        <f t="shared" si="191"/>
        <v>121973.15199999999</v>
      </c>
      <c r="FC11" s="34">
        <f t="shared" si="121"/>
        <v>6.4391570727942826E-2</v>
      </c>
      <c r="FD11" s="13">
        <v>130.37</v>
      </c>
      <c r="FE11" s="38">
        <f>(FD11-EY11)/EY11</f>
        <v>-3.3006972259308626E-2</v>
      </c>
      <c r="FF11" s="14">
        <f t="shared" si="123"/>
        <v>-2.1253707887505181E-3</v>
      </c>
      <c r="FG11" s="15">
        <f>FD11*$L11</f>
        <v>117947.18755555556</v>
      </c>
      <c r="FH11" s="34">
        <f t="shared" si="125"/>
        <v>6.3395644102057822E-2</v>
      </c>
      <c r="FI11" s="13">
        <v>130.15</v>
      </c>
      <c r="FJ11" s="38">
        <f>(FI11-FD11)/FD11</f>
        <v>-1.6875047940477015E-3</v>
      </c>
      <c r="FK11" s="14">
        <f t="shared" si="127"/>
        <v>-1.0698045334396447E-4</v>
      </c>
      <c r="FL11" s="15">
        <f>FI11*$L11</f>
        <v>117748.15111111112</v>
      </c>
      <c r="FM11" s="34">
        <f t="shared" si="129"/>
        <v>6.2919642101058049E-2</v>
      </c>
      <c r="FN11" s="13">
        <v>128.94999999999999</v>
      </c>
      <c r="FO11" s="38">
        <f>(FN11-FI11)/FI11</f>
        <v>-9.220130618517227E-3</v>
      </c>
      <c r="FP11" s="14">
        <f t="shared" si="131"/>
        <v>-5.801273186421109E-4</v>
      </c>
      <c r="FQ11" s="15">
        <f t="shared" si="194"/>
        <v>116662.49777777777</v>
      </c>
      <c r="FR11" s="34">
        <f t="shared" si="133"/>
        <v>6.2146371725087711E-2</v>
      </c>
      <c r="FS11" s="13">
        <v>125.86</v>
      </c>
      <c r="FT11" s="38">
        <f>(FS11-FN11)/FN11</f>
        <v>-2.3962776269871963E-2</v>
      </c>
      <c r="FU11" s="14">
        <f t="shared" si="135"/>
        <v>-1.4891996016325737E-3</v>
      </c>
      <c r="FV11" s="15">
        <f t="shared" si="195"/>
        <v>113866.94044444444</v>
      </c>
      <c r="FW11" s="34">
        <f t="shared" si="137"/>
        <v>6.065717212345513E-2</v>
      </c>
      <c r="FX11" s="13">
        <v>125.52</v>
      </c>
      <c r="FY11" s="38">
        <f t="shared" si="138"/>
        <v>-2.7014142698236405E-3</v>
      </c>
      <c r="FZ11" s="14">
        <f t="shared" si="139"/>
        <v>-1.6386015034145041E-4</v>
      </c>
      <c r="GA11" s="15">
        <f t="shared" si="196"/>
        <v>113559.33866666666</v>
      </c>
      <c r="GB11" s="34">
        <f t="shared" si="141"/>
        <v>6.1467049244330364E-2</v>
      </c>
      <c r="GC11" s="13">
        <v>126.28</v>
      </c>
      <c r="GD11" s="38">
        <f t="shared" si="142"/>
        <v>6.0548119821542791E-3</v>
      </c>
      <c r="GE11" s="14">
        <f t="shared" si="143"/>
        <v>3.7217142627223862E-4</v>
      </c>
      <c r="GF11" s="15">
        <f t="shared" si="197"/>
        <v>114246.91911111111</v>
      </c>
      <c r="GG11" s="34">
        <f t="shared" si="145"/>
        <v>6.1382569862957072E-2</v>
      </c>
      <c r="GH11" s="13">
        <v>126.64</v>
      </c>
      <c r="GI11" s="38">
        <f t="shared" si="146"/>
        <v>2.850807728856505E-3</v>
      </c>
      <c r="GJ11" s="14">
        <f t="shared" si="147"/>
        <v>1.749899045823924E-4</v>
      </c>
      <c r="GK11" s="15">
        <f t="shared" si="198"/>
        <v>114572.61511111111</v>
      </c>
      <c r="GL11" s="34">
        <f t="shared" si="149"/>
        <v>6.1442462490816536E-2</v>
      </c>
      <c r="GM11" s="13">
        <v>127.19</v>
      </c>
      <c r="GN11" s="38">
        <f t="shared" si="150"/>
        <v>4.3430195830700975E-3</v>
      </c>
      <c r="GO11" s="14">
        <f t="shared" si="151"/>
        <v>1.8861819098930363E-5</v>
      </c>
      <c r="GP11" s="15">
        <f t="shared" si="199"/>
        <v>115070.20622222222</v>
      </c>
      <c r="GQ11" s="34">
        <f t="shared" si="153"/>
        <v>6.2598636067486793E-2</v>
      </c>
      <c r="GR11" s="13">
        <v>126.46</v>
      </c>
      <c r="GS11" s="38">
        <f t="shared" si="154"/>
        <v>-5.739444924915512E-3</v>
      </c>
      <c r="GT11" s="14">
        <f t="shared" si="155"/>
        <v>-3.5928142408417021E-4</v>
      </c>
      <c r="GU11" s="15">
        <f t="shared" si="200"/>
        <v>114409.76711111111</v>
      </c>
      <c r="GV11" s="34">
        <f t="shared" si="157"/>
        <v>6.2597157940782841E-2</v>
      </c>
      <c r="GW11" s="13">
        <v>125.03</v>
      </c>
      <c r="GX11" s="38">
        <f t="shared" si="158"/>
        <v>-1.1307923454056561E-2</v>
      </c>
      <c r="GY11" s="14">
        <f t="shared" si="159"/>
        <v>-7.0784387043586118E-4</v>
      </c>
      <c r="GZ11" s="15">
        <f t="shared" si="201"/>
        <v>113116.03022222222</v>
      </c>
      <c r="HA11" s="34">
        <f t="shared" si="161"/>
        <v>6.2062007532157404E-2</v>
      </c>
      <c r="HB11" s="13">
        <v>121.15</v>
      </c>
      <c r="HC11" s="38">
        <f t="shared" si="162"/>
        <v>-3.1032552187474971E-2</v>
      </c>
      <c r="HD11" s="14">
        <f t="shared" si="163"/>
        <v>-1.9259424876011393E-3</v>
      </c>
      <c r="HE11" s="15">
        <f t="shared" si="202"/>
        <v>109605.75111111111</v>
      </c>
      <c r="HF11" s="34">
        <f t="shared" si="165"/>
        <v>5.8888963722657978E-2</v>
      </c>
      <c r="HG11" s="13">
        <v>124.8</v>
      </c>
      <c r="HH11" s="38">
        <f t="shared" si="166"/>
        <v>3.0127940569541819E-2</v>
      </c>
      <c r="HI11" s="14">
        <f t="shared" si="167"/>
        <v>1.7742031992381438E-3</v>
      </c>
      <c r="HJ11" s="15">
        <f t="shared" si="203"/>
        <v>112907.94666666667</v>
      </c>
      <c r="HK11" s="34">
        <f t="shared" si="169"/>
        <v>6.2635559809202532E-2</v>
      </c>
      <c r="HL11" s="13">
        <v>129.30000000000001</v>
      </c>
      <c r="HM11" s="38">
        <f t="shared" si="170"/>
        <v>3.6057692307692422E-2</v>
      </c>
      <c r="HN11" s="14">
        <f t="shared" si="171"/>
        <v>1.3001571745562214E-3</v>
      </c>
      <c r="HO11" s="15">
        <f t="shared" si="204"/>
        <v>116979.14666666668</v>
      </c>
      <c r="HP11" s="34">
        <f t="shared" si="173"/>
        <v>6.3532685624041615E-2</v>
      </c>
    </row>
    <row r="12" spans="2:224" s="5" customFormat="1" ht="18" customHeight="1" x14ac:dyDescent="0.45">
      <c r="B12" s="282">
        <v>6</v>
      </c>
      <c r="C12" s="280" t="s">
        <v>8</v>
      </c>
      <c r="D12" s="172" t="s">
        <v>125</v>
      </c>
      <c r="E12" s="11">
        <v>852</v>
      </c>
      <c r="F12" s="12">
        <v>114741</v>
      </c>
      <c r="G12" s="170">
        <f t="shared" si="22"/>
        <v>6.0795473812712997E-2</v>
      </c>
      <c r="H12" s="168">
        <v>9.36</v>
      </c>
      <c r="I12" s="13">
        <v>839.65</v>
      </c>
      <c r="J12" s="38">
        <f t="shared" si="23"/>
        <v>-1.4495305164319275E-2</v>
      </c>
      <c r="K12" s="14">
        <f t="shared" si="24"/>
        <v>-8.8124894552465592E-4</v>
      </c>
      <c r="L12" s="15">
        <f t="shared" si="25"/>
        <v>134.67253521126761</v>
      </c>
      <c r="M12" s="16">
        <f t="shared" si="26"/>
        <v>113077.79419014085</v>
      </c>
      <c r="N12" s="17">
        <f t="shared" si="27"/>
        <v>6.3181355272245776E-2</v>
      </c>
      <c r="O12" s="13">
        <v>821.4</v>
      </c>
      <c r="P12" s="38">
        <f t="shared" si="0"/>
        <v>-2.1735246829035909E-2</v>
      </c>
      <c r="Q12" s="14">
        <f t="shared" si="1"/>
        <v>-1.3732623518352713E-3</v>
      </c>
      <c r="R12" s="15">
        <f t="shared" si="2"/>
        <v>110620.02042253522</v>
      </c>
      <c r="S12" s="34">
        <f t="shared" si="28"/>
        <v>6.235321225266105E-2</v>
      </c>
      <c r="T12" s="13">
        <v>813.95</v>
      </c>
      <c r="U12" s="38">
        <f t="shared" si="3"/>
        <v>-9.0698806915022311E-3</v>
      </c>
      <c r="V12" s="14">
        <f t="shared" si="4"/>
        <v>-5.655361958635508E-4</v>
      </c>
      <c r="W12" s="15">
        <f t="shared" si="29"/>
        <v>109616.71003521128</v>
      </c>
      <c r="X12" s="34">
        <f t="shared" si="30"/>
        <v>6.1883581372778648E-2</v>
      </c>
      <c r="Y12" s="13">
        <v>831.75</v>
      </c>
      <c r="Z12" s="38">
        <f t="shared" si="5"/>
        <v>2.186866515142202E-2</v>
      </c>
      <c r="AA12" s="14">
        <f t="shared" si="31"/>
        <v>1.3533113194120732E-3</v>
      </c>
      <c r="AB12" s="15">
        <f t="shared" si="32"/>
        <v>112013.88116197183</v>
      </c>
      <c r="AC12" s="34">
        <f t="shared" si="33"/>
        <v>6.2515301871012979E-2</v>
      </c>
      <c r="AD12" s="13">
        <v>820.6</v>
      </c>
      <c r="AE12" s="38">
        <f t="shared" si="6"/>
        <v>-1.3405470393748094E-2</v>
      </c>
      <c r="AF12" s="14">
        <f t="shared" si="7"/>
        <v>-8.3804702838808937E-4</v>
      </c>
      <c r="AG12" s="15">
        <f t="shared" si="34"/>
        <v>110512.28239436621</v>
      </c>
      <c r="AH12" s="34">
        <f t="shared" si="35"/>
        <v>6.2734493128589322E-2</v>
      </c>
      <c r="AI12" s="13">
        <v>810</v>
      </c>
      <c r="AJ12" s="38">
        <f t="shared" si="8"/>
        <v>-1.291737752863761E-2</v>
      </c>
      <c r="AK12" s="14">
        <f t="shared" si="9"/>
        <v>-8.1036513180971024E-4</v>
      </c>
      <c r="AL12" s="15">
        <f t="shared" si="36"/>
        <v>109084.75352112677</v>
      </c>
      <c r="AM12" s="34">
        <f t="shared" si="37"/>
        <v>6.3220426250676878E-2</v>
      </c>
      <c r="AN12" s="13">
        <v>817.1</v>
      </c>
      <c r="AO12" s="38">
        <f t="shared" si="38"/>
        <v>8.7654320987654594E-3</v>
      </c>
      <c r="AP12" s="14">
        <f t="shared" si="10"/>
        <v>5.5415435355531757E-4</v>
      </c>
      <c r="AQ12" s="15">
        <f t="shared" si="39"/>
        <v>110040.92852112677</v>
      </c>
      <c r="AR12" s="34">
        <f t="shared" si="40"/>
        <v>6.310892470277428E-2</v>
      </c>
      <c r="AS12" s="13">
        <v>810.2</v>
      </c>
      <c r="AT12" s="38">
        <f t="shared" si="11"/>
        <v>-8.4444988373515821E-3</v>
      </c>
      <c r="AU12" s="14">
        <f t="shared" si="12"/>
        <v>-5.3292324127908594E-4</v>
      </c>
      <c r="AV12" s="15">
        <f t="shared" si="41"/>
        <v>109111.68802816902</v>
      </c>
      <c r="AW12" s="34">
        <f t="shared" si="42"/>
        <v>6.253090989819958E-2</v>
      </c>
      <c r="AX12" s="13">
        <v>818.95</v>
      </c>
      <c r="AY12" s="38">
        <f t="shared" si="13"/>
        <v>1.0799802517896815E-2</v>
      </c>
      <c r="AZ12" s="14">
        <f t="shared" si="14"/>
        <v>6.7532147816495467E-4</v>
      </c>
      <c r="BA12" s="15">
        <f t="shared" si="43"/>
        <v>110290.07271126762</v>
      </c>
      <c r="BB12" s="34">
        <f t="shared" si="44"/>
        <v>6.3064256765107518E-2</v>
      </c>
      <c r="BC12" s="13">
        <v>825.95</v>
      </c>
      <c r="BD12" s="38">
        <f t="shared" si="15"/>
        <v>8.5475303742597215E-3</v>
      </c>
      <c r="BE12" s="14">
        <f t="shared" si="16"/>
        <v>5.3904365022987061E-4</v>
      </c>
      <c r="BF12" s="15">
        <f t="shared" si="45"/>
        <v>111232.7804577465</v>
      </c>
      <c r="BG12" s="34">
        <f t="shared" si="46"/>
        <v>6.3635379754784185E-2</v>
      </c>
      <c r="BH12" s="13">
        <v>840.15</v>
      </c>
      <c r="BI12" s="38">
        <f t="shared" si="17"/>
        <v>1.7192323990556247E-2</v>
      </c>
      <c r="BJ12" s="14">
        <f>BI12*BG12</f>
        <v>1.0940400660063335E-3</v>
      </c>
      <c r="BK12" s="15">
        <f t="shared" si="47"/>
        <v>113145.13045774649</v>
      </c>
      <c r="BL12" s="34">
        <f t="shared" si="48"/>
        <v>6.3104354753766134E-2</v>
      </c>
      <c r="BM12" s="13">
        <v>835.5</v>
      </c>
      <c r="BN12" s="38">
        <f t="shared" si="19"/>
        <v>-5.5347259417960811E-3</v>
      </c>
      <c r="BO12" s="14">
        <f>BN12*BL12</f>
        <v>-3.4926530929597227E-4</v>
      </c>
      <c r="BP12" s="15">
        <f>BM12*$L12</f>
        <v>112518.9031690141</v>
      </c>
      <c r="BQ12" s="34">
        <f t="shared" si="50"/>
        <v>6.2956565995186842E-2</v>
      </c>
      <c r="BR12" s="13">
        <v>833.35</v>
      </c>
      <c r="BS12" s="38">
        <f t="shared" si="51"/>
        <v>-2.5733093955714868E-3</v>
      </c>
      <c r="BT12" s="14">
        <f>BS12*BQ12</f>
        <v>-1.6200672278833067E-4</v>
      </c>
      <c r="BU12" s="15">
        <f>BR12*$L12</f>
        <v>112229.35721830987</v>
      </c>
      <c r="BV12" s="34">
        <f t="shared" si="54"/>
        <v>6.2687538735379841E-2</v>
      </c>
      <c r="BW12" s="13">
        <v>833</v>
      </c>
      <c r="BX12" s="38">
        <f t="shared" si="55"/>
        <v>-4.1999160016802393E-4</v>
      </c>
      <c r="BY12" s="14">
        <f>BX12*BV12</f>
        <v>-2.6328239704067162E-5</v>
      </c>
      <c r="BZ12" s="15">
        <f>BW12*$L12</f>
        <v>112182.22183098592</v>
      </c>
      <c r="CA12" s="34">
        <f t="shared" si="58"/>
        <v>6.3165317132462984E-2</v>
      </c>
      <c r="CB12" s="13">
        <v>809.75</v>
      </c>
      <c r="CC12" s="38">
        <f t="shared" si="59"/>
        <v>-2.7911164465786314E-2</v>
      </c>
      <c r="CD12" s="14">
        <f>CC12*CA12</f>
        <v>-1.7630175550177242E-3</v>
      </c>
      <c r="CE12" s="15">
        <f>CB12*$L12</f>
        <v>109051.08538732395</v>
      </c>
      <c r="CF12" s="34">
        <f t="shared" si="62"/>
        <v>6.2408859970674628E-2</v>
      </c>
      <c r="CG12" s="13">
        <v>878.3</v>
      </c>
      <c r="CH12" s="38">
        <f t="shared" si="63"/>
        <v>8.4655757949984506E-2</v>
      </c>
      <c r="CI12" s="14">
        <f>CH12*CF12</f>
        <v>5.2832693436119082E-3</v>
      </c>
      <c r="CJ12" s="15">
        <f>CG12*$L12</f>
        <v>118282.88767605634</v>
      </c>
      <c r="CK12" s="34">
        <f t="shared" si="66"/>
        <v>6.6854311728268168E-2</v>
      </c>
      <c r="CL12" s="13">
        <v>847.9</v>
      </c>
      <c r="CM12" s="38">
        <f t="shared" si="67"/>
        <v>-3.4612319253102562E-2</v>
      </c>
      <c r="CN12" s="14">
        <f>CM12*CK12</f>
        <v>-2.3139827809852565E-3</v>
      </c>
      <c r="CO12" s="15">
        <f>CL12*$L12</f>
        <v>114188.84260563381</v>
      </c>
      <c r="CP12" s="34">
        <f t="shared" si="70"/>
        <v>6.4620457937476283E-2</v>
      </c>
      <c r="CQ12" s="13">
        <v>848.25</v>
      </c>
      <c r="CR12" s="38">
        <f t="shared" si="71"/>
        <v>4.1278452647720571E-4</v>
      </c>
      <c r="CS12" s="14">
        <f>CR12*CP12</f>
        <v>2.6674325130461337E-5</v>
      </c>
      <c r="CT12" s="15">
        <f>CQ12*$L12</f>
        <v>114235.97799295775</v>
      </c>
      <c r="CU12" s="34">
        <f>CT12/$CT$19</f>
        <v>6.3683938997469575E-2</v>
      </c>
      <c r="CV12" s="13">
        <v>842.05</v>
      </c>
      <c r="CW12" s="38">
        <f t="shared" si="74"/>
        <v>-7.3091659298556389E-3</v>
      </c>
      <c r="CX12" s="14">
        <f t="shared" si="75"/>
        <v>5.3423906590162445E-5</v>
      </c>
      <c r="CY12" s="15">
        <f>CV12*$L12</f>
        <v>113401.00827464789</v>
      </c>
      <c r="CZ12" s="34">
        <f t="shared" si="77"/>
        <v>6.3306459112220284E-2</v>
      </c>
      <c r="DA12" s="13">
        <v>843</v>
      </c>
      <c r="DB12" s="38">
        <f t="shared" si="78"/>
        <v>1.128199038061927E-3</v>
      </c>
      <c r="DC12" s="14">
        <f>DB12*CZ12</f>
        <v>7.1422286273513638E-5</v>
      </c>
      <c r="DD12" s="15">
        <f>DA12*$L12</f>
        <v>113528.9471830986</v>
      </c>
      <c r="DE12" s="34">
        <f t="shared" si="81"/>
        <v>6.3594086233431546E-2</v>
      </c>
      <c r="DF12" s="13">
        <v>874.95</v>
      </c>
      <c r="DG12" s="38">
        <f t="shared" si="82"/>
        <v>3.7900355871886178E-2</v>
      </c>
      <c r="DH12" s="14">
        <f>DG12*DE12</f>
        <v>2.4102384995944733E-3</v>
      </c>
      <c r="DI12" s="15">
        <f>DF12*$L12</f>
        <v>117831.73468309861</v>
      </c>
      <c r="DJ12" s="34">
        <f t="shared" si="85"/>
        <v>6.4017046067841407E-2</v>
      </c>
      <c r="DK12" s="13">
        <v>833.45</v>
      </c>
      <c r="DL12" s="38">
        <f t="shared" si="86"/>
        <v>-4.7431281787530713E-2</v>
      </c>
      <c r="DM12" s="14">
        <f>DL12*DJ12</f>
        <v>-3.0364105512491208E-3</v>
      </c>
      <c r="DN12" s="15">
        <f>DK12*$L12</f>
        <v>112242.824471831</v>
      </c>
      <c r="DO12" s="34">
        <f t="shared" si="89"/>
        <v>6.1618381819662726E-2</v>
      </c>
      <c r="DP12" s="13">
        <v>825.65</v>
      </c>
      <c r="DQ12" s="38">
        <f t="shared" si="90"/>
        <v>-9.3586897834304003E-3</v>
      </c>
      <c r="DR12" s="14">
        <f>DQ12*DO12</f>
        <v>-5.7666732040719112E-4</v>
      </c>
      <c r="DS12" s="15">
        <f>DP12*$L12</f>
        <v>111192.3786971831</v>
      </c>
      <c r="DT12" s="34">
        <f t="shared" si="93"/>
        <v>6.1514848831853541E-2</v>
      </c>
      <c r="DU12" s="13">
        <v>845.5</v>
      </c>
      <c r="DV12" s="38">
        <f t="shared" si="94"/>
        <v>2.4041664143402197E-2</v>
      </c>
      <c r="DW12" s="14">
        <f t="shared" si="95"/>
        <v>5.7800161478415086E-4</v>
      </c>
      <c r="DX12" s="15">
        <f>DU12*$L12</f>
        <v>113865.62852112677</v>
      </c>
      <c r="DY12" s="34">
        <f t="shared" si="97"/>
        <v>6.1782481103440985E-2</v>
      </c>
      <c r="DZ12" s="13">
        <v>849.6</v>
      </c>
      <c r="EA12" s="38">
        <f t="shared" si="98"/>
        <v>4.8492016558249829E-3</v>
      </c>
      <c r="EB12" s="14">
        <f>EA12*DY12</f>
        <v>2.9959570966778173E-4</v>
      </c>
      <c r="EC12" s="15">
        <f>DZ12*$L12</f>
        <v>114417.78591549298</v>
      </c>
      <c r="ED12" s="34">
        <f t="shared" si="101"/>
        <v>6.1718453436807354E-2</v>
      </c>
      <c r="EE12" s="13">
        <v>853.3</v>
      </c>
      <c r="EF12" s="38">
        <f t="shared" si="102"/>
        <v>4.3549905838040628E-3</v>
      </c>
      <c r="EG12" s="14">
        <f>EF12*ED12</f>
        <v>2.6878328356424552E-4</v>
      </c>
      <c r="EH12" s="15">
        <f>EE12*$L12</f>
        <v>114916.07429577466</v>
      </c>
      <c r="EI12" s="34">
        <f t="shared" si="105"/>
        <v>6.2164216508227552E-2</v>
      </c>
      <c r="EJ12" s="13">
        <v>876.35</v>
      </c>
      <c r="EK12" s="38">
        <f t="shared" si="106"/>
        <v>2.7012773936481976E-2</v>
      </c>
      <c r="EL12" s="14">
        <f>EK12*EI12</f>
        <v>1.6792279274752719E-3</v>
      </c>
      <c r="EM12" s="15">
        <f>EJ12*$L12</f>
        <v>118020.27623239438</v>
      </c>
      <c r="EN12" s="34">
        <f t="shared" si="109"/>
        <v>6.2733467235483592E-2</v>
      </c>
      <c r="EO12" s="13">
        <v>875.7</v>
      </c>
      <c r="EP12" s="38">
        <f t="shared" si="110"/>
        <v>-7.4171278598730785E-4</v>
      </c>
      <c r="EQ12" s="14">
        <f>EP12*EN12</f>
        <v>-4.6530214757874031E-5</v>
      </c>
      <c r="ER12" s="15">
        <f>EO12*$L12</f>
        <v>117932.73908450706</v>
      </c>
      <c r="ES12" s="34">
        <f t="shared" si="113"/>
        <v>6.2167107204141939E-2</v>
      </c>
      <c r="ET12" s="13">
        <v>870.65</v>
      </c>
      <c r="EU12" s="38">
        <f t="shared" si="114"/>
        <v>-5.7668151193331829E-3</v>
      </c>
      <c r="EV12" s="14">
        <f t="shared" si="115"/>
        <v>3.3256156620569793E-5</v>
      </c>
      <c r="EW12" s="15">
        <f>ET12*$L12</f>
        <v>117252.64278169014</v>
      </c>
      <c r="EX12" s="34">
        <f t="shared" si="117"/>
        <v>6.2204098584231218E-2</v>
      </c>
      <c r="EY12" s="13">
        <v>861.1</v>
      </c>
      <c r="EZ12" s="38">
        <f t="shared" si="118"/>
        <v>-1.0968816401539029E-2</v>
      </c>
      <c r="FA12" s="14">
        <f>EZ12*EX12</f>
        <v>-6.8230533679366611E-4</v>
      </c>
      <c r="FB12" s="15">
        <f>EY12*$L12</f>
        <v>115966.52007042254</v>
      </c>
      <c r="FC12" s="34">
        <f t="shared" si="121"/>
        <v>6.1220574009500185E-2</v>
      </c>
      <c r="FD12" s="13">
        <v>846.4</v>
      </c>
      <c r="FE12" s="38">
        <f>(FD12-EY12)/EY12</f>
        <v>-1.7071188015329284E-2</v>
      </c>
      <c r="FF12" s="14">
        <f>FE12*FC12</f>
        <v>-1.045107929322559E-3</v>
      </c>
      <c r="FG12" s="15">
        <f>FD12*$L12</f>
        <v>113986.83380281691</v>
      </c>
      <c r="FH12" s="34">
        <f t="shared" si="125"/>
        <v>6.126698650343039E-2</v>
      </c>
      <c r="FI12" s="13">
        <v>843.65</v>
      </c>
      <c r="FJ12" s="38">
        <f>(FI12-FD12)/FD12</f>
        <v>-3.2490548204158792E-3</v>
      </c>
      <c r="FK12" s="14">
        <f>FJ12*FH12</f>
        <v>-1.9905979783132511E-4</v>
      </c>
      <c r="FL12" s="15">
        <f>FI12*$L12</f>
        <v>113616.48433098591</v>
      </c>
      <c r="FM12" s="34">
        <f t="shared" si="129"/>
        <v>6.0711853761001661E-2</v>
      </c>
      <c r="FN12" s="13">
        <v>832.6</v>
      </c>
      <c r="FO12" s="38">
        <f>(FN12-FI12)/FI12</f>
        <v>-1.3097848633912114E-2</v>
      </c>
      <c r="FP12" s="14">
        <f>FO12*FM12</f>
        <v>-7.9519467084580766E-4</v>
      </c>
      <c r="FQ12" s="15">
        <f>FN12*$L12</f>
        <v>112128.35281690142</v>
      </c>
      <c r="FR12" s="34">
        <f t="shared" si="133"/>
        <v>5.9731022632092984E-2</v>
      </c>
      <c r="FS12" s="13">
        <v>814.7</v>
      </c>
      <c r="FT12" s="38">
        <f>(FS12-FN12)/FN12</f>
        <v>-2.1498919048762884E-2</v>
      </c>
      <c r="FU12" s="14">
        <f>FT12*FR12</f>
        <v>-1.2841524202671908E-3</v>
      </c>
      <c r="FV12" s="15">
        <f>FS12*$L12</f>
        <v>109717.71443661973</v>
      </c>
      <c r="FW12" s="34">
        <f t="shared" si="137"/>
        <v>5.8446870211825791E-2</v>
      </c>
      <c r="FX12" s="13">
        <v>816.65</v>
      </c>
      <c r="FY12" s="38">
        <f t="shared" si="138"/>
        <v>2.3935190867803262E-3</v>
      </c>
      <c r="FZ12" s="14">
        <f>FY12*FW12</f>
        <v>1.3989369941457751E-4</v>
      </c>
      <c r="GA12" s="15">
        <f>FX12*$L12</f>
        <v>109980.3258802817</v>
      </c>
      <c r="GB12" s="34">
        <f t="shared" si="141"/>
        <v>5.9529812221204001E-2</v>
      </c>
      <c r="GC12" s="13">
        <v>820.95</v>
      </c>
      <c r="GD12" s="38">
        <f t="shared" si="142"/>
        <v>5.2654135798690608E-3</v>
      </c>
      <c r="GE12" s="14">
        <f>GD12*GB12</f>
        <v>3.1344908167658275E-4</v>
      </c>
      <c r="GF12" s="15">
        <f>GC12*$L12</f>
        <v>110559.41778169015</v>
      </c>
      <c r="GG12" s="34">
        <f t="shared" si="145"/>
        <v>5.9401349627575553E-2</v>
      </c>
      <c r="GH12" s="13">
        <v>815.1</v>
      </c>
      <c r="GI12" s="38">
        <f t="shared" si="146"/>
        <v>-7.12589073634207E-3</v>
      </c>
      <c r="GJ12" s="14">
        <f>GI12*GG12</f>
        <v>-4.2328752703735712E-4</v>
      </c>
      <c r="GK12" s="15">
        <f>GH12*$L12</f>
        <v>109771.58345070423</v>
      </c>
      <c r="GL12" s="34">
        <f t="shared" si="149"/>
        <v>5.8867787840807914E-2</v>
      </c>
      <c r="GM12" s="13">
        <v>798.95</v>
      </c>
      <c r="GN12" s="38">
        <f t="shared" si="150"/>
        <v>-1.9813519813519784E-2</v>
      </c>
      <c r="GO12" s="14">
        <f t="shared" si="151"/>
        <v>3.9257556740074107E-4</v>
      </c>
      <c r="GP12" s="15">
        <f>GM12*$L12</f>
        <v>107596.62200704227</v>
      </c>
      <c r="GQ12" s="34">
        <f t="shared" si="153"/>
        <v>5.8532977425124727E-2</v>
      </c>
      <c r="GR12" s="13">
        <v>786.9</v>
      </c>
      <c r="GS12" s="38">
        <f t="shared" si="154"/>
        <v>-1.5082295512860715E-2</v>
      </c>
      <c r="GT12" s="14">
        <f>GS12*GQ12</f>
        <v>-8.8281166277333616E-4</v>
      </c>
      <c r="GU12" s="15">
        <f>GR12*$L12</f>
        <v>105973.81795774648</v>
      </c>
      <c r="GV12" s="34">
        <f t="shared" si="157"/>
        <v>5.7981586605682249E-2</v>
      </c>
      <c r="GW12" s="13">
        <v>785.95</v>
      </c>
      <c r="GX12" s="38">
        <f t="shared" si="158"/>
        <v>-1.2072690303722604E-3</v>
      </c>
      <c r="GY12" s="14">
        <f>GX12*GV12</f>
        <v>-6.9999373840887248E-5</v>
      </c>
      <c r="GZ12" s="15">
        <f>GW12*$L12</f>
        <v>105845.87904929579</v>
      </c>
      <c r="HA12" s="34">
        <f t="shared" si="161"/>
        <v>5.807318140408628E-2</v>
      </c>
      <c r="HB12" s="13">
        <v>772.4</v>
      </c>
      <c r="HC12" s="38">
        <f t="shared" si="162"/>
        <v>-1.7240282460716416E-2</v>
      </c>
      <c r="HD12" s="14">
        <f>HC12*HA12</f>
        <v>-1.0011980507988714E-3</v>
      </c>
      <c r="HE12" s="15">
        <f>HB12*$L12</f>
        <v>104021.0661971831</v>
      </c>
      <c r="HF12" s="34">
        <f t="shared" si="165"/>
        <v>5.5888424937376641E-2</v>
      </c>
      <c r="HG12" s="13">
        <v>793.15</v>
      </c>
      <c r="HH12" s="38">
        <f t="shared" si="166"/>
        <v>2.6864319005696531E-2</v>
      </c>
      <c r="HI12" s="14">
        <f>HH12*HF12</f>
        <v>1.5014044762436112E-3</v>
      </c>
      <c r="HJ12" s="15">
        <f>HG12*$L12</f>
        <v>106815.52130281691</v>
      </c>
      <c r="HK12" s="34">
        <f t="shared" si="169"/>
        <v>5.9255793508190054E-2</v>
      </c>
      <c r="HL12" s="13">
        <v>870.7</v>
      </c>
      <c r="HM12" s="38">
        <f t="shared" si="170"/>
        <v>9.777469583307076E-2</v>
      </c>
      <c r="HN12" s="14">
        <f t="shared" si="171"/>
        <v>9.5598911452495043E-3</v>
      </c>
      <c r="HO12" s="15">
        <f>HL12*$L12</f>
        <v>117259.37640845071</v>
      </c>
      <c r="HP12" s="34">
        <f t="shared" si="173"/>
        <v>6.3684881537540663E-2</v>
      </c>
    </row>
    <row r="13" spans="2:224" s="5" customFormat="1" ht="18" customHeight="1" x14ac:dyDescent="0.45">
      <c r="B13" s="282">
        <v>7</v>
      </c>
      <c r="C13" s="280" t="s">
        <v>9</v>
      </c>
      <c r="D13" s="172" t="s">
        <v>126</v>
      </c>
      <c r="E13" s="11">
        <v>140</v>
      </c>
      <c r="F13" s="12">
        <v>63678</v>
      </c>
      <c r="G13" s="170">
        <f t="shared" si="22"/>
        <v>3.3739763305583342E-2</v>
      </c>
      <c r="H13" s="168">
        <v>6.25</v>
      </c>
      <c r="I13" s="13">
        <v>143.86000000000001</v>
      </c>
      <c r="J13" s="38">
        <f t="shared" si="23"/>
        <v>2.757142857142867E-2</v>
      </c>
      <c r="K13" s="14">
        <f t="shared" si="24"/>
        <v>9.3025347399680125E-4</v>
      </c>
      <c r="L13" s="15">
        <f t="shared" si="25"/>
        <v>454.84285714285716</v>
      </c>
      <c r="M13" s="16">
        <f t="shared" si="26"/>
        <v>65433.693428571438</v>
      </c>
      <c r="N13" s="17">
        <f t="shared" si="27"/>
        <v>3.656057726359719E-2</v>
      </c>
      <c r="O13" s="13">
        <v>140.13999999999999</v>
      </c>
      <c r="P13" s="38">
        <f t="shared" si="0"/>
        <v>-2.585847351591844E-2</v>
      </c>
      <c r="Q13" s="14">
        <f t="shared" si="1"/>
        <v>-9.4540071889741783E-4</v>
      </c>
      <c r="R13" s="15">
        <f t="shared" si="2"/>
        <v>63741.677999999993</v>
      </c>
      <c r="S13" s="34">
        <f t="shared" si="28"/>
        <v>3.5929286240351306E-2</v>
      </c>
      <c r="T13" s="13">
        <v>140.59</v>
      </c>
      <c r="U13" s="38">
        <f t="shared" si="3"/>
        <v>3.2110746396461901E-3</v>
      </c>
      <c r="V13" s="14">
        <f t="shared" si="4"/>
        <v>1.1537161986698088E-4</v>
      </c>
      <c r="W13" s="15">
        <f t="shared" si="29"/>
        <v>63946.357285714286</v>
      </c>
      <c r="X13" s="34">
        <f t="shared" si="30"/>
        <v>3.6100605494473685E-2</v>
      </c>
      <c r="Y13" s="13">
        <v>143.94999999999999</v>
      </c>
      <c r="Z13" s="38">
        <f t="shared" si="5"/>
        <v>2.3899281598975638E-2</v>
      </c>
      <c r="AA13" s="14">
        <f t="shared" si="31"/>
        <v>8.6277853660595371E-4</v>
      </c>
      <c r="AB13" s="15">
        <f t="shared" si="32"/>
        <v>65474.629285714283</v>
      </c>
      <c r="AC13" s="34">
        <f t="shared" si="33"/>
        <v>3.6541597989720447E-2</v>
      </c>
      <c r="AD13" s="13">
        <v>142.26</v>
      </c>
      <c r="AE13" s="38">
        <f t="shared" si="6"/>
        <v>-1.1740187565126766E-2</v>
      </c>
      <c r="AF13" s="14">
        <f t="shared" si="7"/>
        <v>-4.2900521432877721E-4</v>
      </c>
      <c r="AG13" s="15">
        <f t="shared" si="34"/>
        <v>64705.944857142858</v>
      </c>
      <c r="AH13" s="34">
        <f t="shared" si="35"/>
        <v>3.6731615392157052E-2</v>
      </c>
      <c r="AI13" s="13">
        <v>138.22</v>
      </c>
      <c r="AJ13" s="38">
        <f t="shared" si="8"/>
        <v>-2.8398706593561033E-2</v>
      </c>
      <c r="AK13" s="14">
        <f t="shared" si="9"/>
        <v>-1.0431303682293983E-3</v>
      </c>
      <c r="AL13" s="15">
        <f t="shared" si="36"/>
        <v>62868.379714285715</v>
      </c>
      <c r="AM13" s="34">
        <f t="shared" si="37"/>
        <v>3.6435575412074289E-2</v>
      </c>
      <c r="AN13" s="13">
        <v>138.63999999999999</v>
      </c>
      <c r="AO13" s="38">
        <f t="shared" si="38"/>
        <v>3.038634061640772E-3</v>
      </c>
      <c r="AP13" s="14">
        <f t="shared" si="10"/>
        <v>1.1071438050260994E-4</v>
      </c>
      <c r="AQ13" s="15">
        <f t="shared" si="39"/>
        <v>63059.413714285707</v>
      </c>
      <c r="AR13" s="34">
        <f t="shared" si="40"/>
        <v>3.616483289789673E-2</v>
      </c>
      <c r="AS13" s="13">
        <v>139.19999999999999</v>
      </c>
      <c r="AT13" s="38">
        <f t="shared" si="11"/>
        <v>4.0392383150606058E-3</v>
      </c>
      <c r="AU13" s="14">
        <f t="shared" si="12"/>
        <v>1.4607837869894875E-4</v>
      </c>
      <c r="AV13" s="15">
        <f t="shared" si="41"/>
        <v>63314.125714285714</v>
      </c>
      <c r="AW13" s="34">
        <f t="shared" si="42"/>
        <v>3.6284746042066315E-2</v>
      </c>
      <c r="AX13" s="13">
        <v>139.22999999999999</v>
      </c>
      <c r="AY13" s="38">
        <f t="shared" si="13"/>
        <v>2.1551724137931853E-4</v>
      </c>
      <c r="AZ13" s="14">
        <f t="shared" si="14"/>
        <v>7.8199883711352787E-6</v>
      </c>
      <c r="BA13" s="15">
        <f t="shared" si="43"/>
        <v>63327.771000000001</v>
      </c>
      <c r="BB13" s="34">
        <f t="shared" si="44"/>
        <v>3.6211045223999719E-2</v>
      </c>
      <c r="BC13" s="13">
        <v>139.91999999999999</v>
      </c>
      <c r="BD13" s="38">
        <f t="shared" si="15"/>
        <v>4.9558284852402341E-3</v>
      </c>
      <c r="BE13" s="14">
        <f t="shared" si="16"/>
        <v>1.7945572940142014E-4</v>
      </c>
      <c r="BF13" s="15">
        <f t="shared" si="45"/>
        <v>63641.612571428566</v>
      </c>
      <c r="BG13" s="34">
        <f t="shared" si="46"/>
        <v>3.6408855083219872E-2</v>
      </c>
      <c r="BH13" s="13">
        <v>146.01</v>
      </c>
      <c r="BI13" s="38">
        <f t="shared" si="17"/>
        <v>4.3524871355060064E-2</v>
      </c>
      <c r="BJ13" s="14">
        <f t="shared" si="18"/>
        <v>1.5846907336821696E-3</v>
      </c>
      <c r="BK13" s="15">
        <f t="shared" si="47"/>
        <v>66411.605571428576</v>
      </c>
      <c r="BL13" s="34">
        <f t="shared" si="48"/>
        <v>3.7039698489823011E-2</v>
      </c>
      <c r="BM13" s="13">
        <v>145.05000000000001</v>
      </c>
      <c r="BN13" s="38">
        <f t="shared" si="19"/>
        <v>-6.5748921306758414E-3</v>
      </c>
      <c r="BO13" s="14">
        <f t="shared" ref="BO13:BO18" si="205">BN13*BL13</f>
        <v>-2.4353202212334317E-4</v>
      </c>
      <c r="BP13" s="15">
        <f t="shared" si="49"/>
        <v>65974.95642857143</v>
      </c>
      <c r="BQ13" s="34">
        <f t="shared" si="50"/>
        <v>3.6914301343534212E-2</v>
      </c>
      <c r="BR13" s="13">
        <v>147</v>
      </c>
      <c r="BS13" s="38">
        <f t="shared" si="51"/>
        <v>1.344364012409506E-2</v>
      </c>
      <c r="BT13" s="14">
        <f t="shared" ref="BT13:BT17" si="206">BS13*BQ13</f>
        <v>4.9626258269487274E-4</v>
      </c>
      <c r="BU13" s="15">
        <f t="shared" ref="BU13:BU17" si="207">BR13*$L13</f>
        <v>66861.900000000009</v>
      </c>
      <c r="BV13" s="34">
        <f t="shared" si="54"/>
        <v>3.7346805239362797E-2</v>
      </c>
      <c r="BW13" s="13">
        <v>139.91</v>
      </c>
      <c r="BX13" s="38">
        <f t="shared" si="55"/>
        <v>-4.8231292517006828E-2</v>
      </c>
      <c r="BY13" s="14">
        <f t="shared" ref="BY13:BY17" si="208">BX13*BV13</f>
        <v>-1.8012846880753903E-3</v>
      </c>
      <c r="BZ13" s="15">
        <f t="shared" ref="BZ13:BZ17" si="209">BW13*$L13</f>
        <v>63637.06414285714</v>
      </c>
      <c r="CA13" s="34">
        <f t="shared" si="58"/>
        <v>3.5831482674843831E-2</v>
      </c>
      <c r="CB13" s="13">
        <v>136.74</v>
      </c>
      <c r="CC13" s="38">
        <f t="shared" si="59"/>
        <v>-2.2657422628832732E-2</v>
      </c>
      <c r="CD13" s="14">
        <f t="shared" ref="CD13:CD17" si="210">CC13*CA13</f>
        <v>-8.1184904638163466E-4</v>
      </c>
      <c r="CE13" s="15">
        <f t="shared" ref="CE13:CE17" si="211">CB13*$L13</f>
        <v>62195.212285714289</v>
      </c>
      <c r="CF13" s="34">
        <f t="shared" si="62"/>
        <v>3.5593706202916096E-2</v>
      </c>
      <c r="CG13" s="13">
        <v>137.29</v>
      </c>
      <c r="CH13" s="38">
        <f t="shared" si="63"/>
        <v>4.0222319730874867E-3</v>
      </c>
      <c r="CI13" s="14">
        <f t="shared" ref="CI13:CI17" si="212">CH13*CF13</f>
        <v>1.4316614313005153E-4</v>
      </c>
      <c r="CJ13" s="15">
        <f t="shared" ref="CJ13:CJ17" si="213">CG13*$L13</f>
        <v>62445.375857142855</v>
      </c>
      <c r="CK13" s="34">
        <f t="shared" si="66"/>
        <v>3.5294561246896075E-2</v>
      </c>
      <c r="CL13" s="13">
        <v>139.69</v>
      </c>
      <c r="CM13" s="38">
        <f t="shared" si="67"/>
        <v>1.7481244081870535E-2</v>
      </c>
      <c r="CN13" s="14">
        <f t="shared" ref="CN13:CN17" si="214">CM13*CK13</f>
        <v>6.1699283991951915E-4</v>
      </c>
      <c r="CO13" s="15">
        <f t="shared" ref="CO13:CO17" si="215">CL13*$L13</f>
        <v>63536.998714285714</v>
      </c>
      <c r="CP13" s="34">
        <f t="shared" si="70"/>
        <v>3.5956139489651109E-2</v>
      </c>
      <c r="CQ13" s="13">
        <v>141.46</v>
      </c>
      <c r="CR13" s="38">
        <f t="shared" si="71"/>
        <v>1.2670914167084331E-2</v>
      </c>
      <c r="CS13" s="14">
        <f t="shared" ref="CS13:CS17" si="216">CR13*CP13</f>
        <v>4.5559715725308059E-4</v>
      </c>
      <c r="CT13" s="15">
        <f t="shared" ref="CT13:CT17" si="217">CQ13*$L13</f>
        <v>64342.07057142858</v>
      </c>
      <c r="CU13" s="34">
        <f t="shared" ref="CU13:CU18" si="218">CT13/$CT$19</f>
        <v>3.5869229372679244E-2</v>
      </c>
      <c r="CV13" s="13">
        <v>141.46</v>
      </c>
      <c r="CW13" s="38">
        <f t="shared" si="74"/>
        <v>0</v>
      </c>
      <c r="CX13" s="14">
        <f t="shared" si="75"/>
        <v>0</v>
      </c>
      <c r="CY13" s="15">
        <f t="shared" ref="CY13:CY17" si="219">CV13*$L13</f>
        <v>64342.07057142858</v>
      </c>
      <c r="CZ13" s="34">
        <f t="shared" si="77"/>
        <v>3.5919157349647325E-2</v>
      </c>
      <c r="DA13" s="13">
        <v>140.08000000000001</v>
      </c>
      <c r="DB13" s="38">
        <f t="shared" si="78"/>
        <v>-9.7554078891559128E-3</v>
      </c>
      <c r="DC13" s="14">
        <f t="shared" ref="DC13:DC17" si="220">DB13*CZ13</f>
        <v>-3.5040603098058208E-4</v>
      </c>
      <c r="DD13" s="15">
        <f t="shared" ref="DD13:DD17" si="221">DA13*$L13</f>
        <v>63714.387428571434</v>
      </c>
      <c r="DE13" s="34">
        <f t="shared" si="81"/>
        <v>3.5690089170896944E-2</v>
      </c>
      <c r="DF13" s="13">
        <v>147.72</v>
      </c>
      <c r="DG13" s="38">
        <f t="shared" si="82"/>
        <v>5.4540262707024452E-2</v>
      </c>
      <c r="DH13" s="14">
        <f t="shared" ref="DH13:DH17" si="222">DG13*DE13</f>
        <v>1.9465468394178479E-3</v>
      </c>
      <c r="DI13" s="15">
        <f t="shared" ref="DI13:DI17" si="223">DF13*$L13</f>
        <v>67189.386857142861</v>
      </c>
      <c r="DJ13" s="34">
        <f t="shared" si="85"/>
        <v>3.6503460508934459E-2</v>
      </c>
      <c r="DK13" s="13">
        <v>144.86000000000001</v>
      </c>
      <c r="DL13" s="38">
        <f t="shared" si="86"/>
        <v>-1.9360953154616743E-2</v>
      </c>
      <c r="DM13" s="14">
        <f t="shared" ref="DM13:DM17" si="224">DL13*DJ13</f>
        <v>-7.0674178889488235E-4</v>
      </c>
      <c r="DN13" s="15">
        <f t="shared" ref="DN13:DN17" si="225">DK13*$L13</f>
        <v>65888.53628571429</v>
      </c>
      <c r="DO13" s="34">
        <f t="shared" si="89"/>
        <v>3.6171087154090183E-2</v>
      </c>
      <c r="DP13" s="13">
        <v>141.72999999999999</v>
      </c>
      <c r="DQ13" s="38">
        <f t="shared" si="90"/>
        <v>-2.1607068894104815E-2</v>
      </c>
      <c r="DR13" s="14">
        <f t="shared" ref="DR13:DR17" si="226">DQ13*DO13</f>
        <v>-7.8155117211309625E-4</v>
      </c>
      <c r="DS13" s="15">
        <f t="shared" ref="DS13:DS17" si="227">DP13*$L13</f>
        <v>64464.878142857138</v>
      </c>
      <c r="DT13" s="34">
        <f t="shared" si="93"/>
        <v>3.5663840277410826E-2</v>
      </c>
      <c r="DU13" s="13">
        <v>145.68</v>
      </c>
      <c r="DV13" s="38">
        <f t="shared" si="94"/>
        <v>2.7869893459394744E-2</v>
      </c>
      <c r="DW13" s="14">
        <f t="shared" si="95"/>
        <v>7.7673096143801394E-4</v>
      </c>
      <c r="DX13" s="15">
        <f t="shared" ref="DX13:DX17" si="228">DU13*$L13</f>
        <v>66261.507428571436</v>
      </c>
      <c r="DY13" s="34">
        <f t="shared" si="97"/>
        <v>3.5952906805688606E-2</v>
      </c>
      <c r="DZ13" s="13">
        <v>146.22999999999999</v>
      </c>
      <c r="EA13" s="38">
        <f t="shared" si="98"/>
        <v>3.775398132893897E-3</v>
      </c>
      <c r="EB13" s="14">
        <f t="shared" ref="EB13:EB17" si="229">EA13*DY13</f>
        <v>1.3573653722630504E-4</v>
      </c>
      <c r="EC13" s="15">
        <f t="shared" ref="EC13:EC17" si="230">DZ13*$L13</f>
        <v>66511.671000000002</v>
      </c>
      <c r="ED13" s="34">
        <f t="shared" si="101"/>
        <v>3.5877267129164961E-2</v>
      </c>
      <c r="EE13" s="13">
        <v>145.66999999999999</v>
      </c>
      <c r="EF13" s="38">
        <f t="shared" si="102"/>
        <v>-3.829583532790825E-3</v>
      </c>
      <c r="EG13" s="14">
        <f t="shared" ref="EG13:EG17" si="231">EF13*ED13</f>
        <v>-1.3739499139938768E-4</v>
      </c>
      <c r="EH13" s="15">
        <f t="shared" ref="EH13:EH17" si="232">EE13*$L13</f>
        <v>66256.959000000003</v>
      </c>
      <c r="EI13" s="34">
        <f t="shared" si="105"/>
        <v>3.5841913063020467E-2</v>
      </c>
      <c r="EJ13" s="13">
        <v>147.13999999999999</v>
      </c>
      <c r="EK13" s="38">
        <f t="shared" si="106"/>
        <v>1.0091302258529547E-2</v>
      </c>
      <c r="EL13" s="14">
        <f t="shared" ref="EL13:EL17" si="233">EK13*EI13</f>
        <v>3.6169157824287809E-4</v>
      </c>
      <c r="EM13" s="15">
        <f t="shared" ref="EM13:EM17" si="234">EJ13*$L13</f>
        <v>66925.577999999994</v>
      </c>
      <c r="EN13" s="34">
        <f t="shared" si="109"/>
        <v>3.5574171563635085E-2</v>
      </c>
      <c r="EO13" s="13">
        <v>147.66999999999999</v>
      </c>
      <c r="EP13" s="38">
        <f t="shared" si="110"/>
        <v>3.602011689547378E-3</v>
      </c>
      <c r="EQ13" s="14">
        <f t="shared" ref="EQ13:EQ17" si="235">EP13*EN13</f>
        <v>1.2813858181817751E-4</v>
      </c>
      <c r="ER13" s="15">
        <f t="shared" ref="ER13:ER17" si="236">EO13*$L13</f>
        <v>67166.644714285707</v>
      </c>
      <c r="ES13" s="34">
        <f t="shared" si="113"/>
        <v>3.5406249654758165E-2</v>
      </c>
      <c r="ET13" s="13">
        <v>146.57</v>
      </c>
      <c r="EU13" s="38">
        <f t="shared" si="114"/>
        <v>-7.4490417823525048E-3</v>
      </c>
      <c r="EV13" s="14">
        <f t="shared" si="115"/>
        <v>5.5488223475233383E-5</v>
      </c>
      <c r="EW13" s="15">
        <f t="shared" ref="EW13:EW17" si="237">ET13*$L13</f>
        <v>66666.317571428575</v>
      </c>
      <c r="EX13" s="34">
        <f t="shared" si="117"/>
        <v>3.5367375029506633E-2</v>
      </c>
      <c r="EY13" s="13">
        <v>146.09</v>
      </c>
      <c r="EZ13" s="38">
        <f t="shared" si="118"/>
        <v>-3.2748857201336549E-3</v>
      </c>
      <c r="FA13" s="14">
        <f t="shared" ref="FA13:FA17" si="238">EZ13*EX13</f>
        <v>-1.1582411144274287E-4</v>
      </c>
      <c r="FB13" s="15">
        <f t="shared" ref="FB13:FB17" si="239">EY13*$L13</f>
        <v>66447.993000000002</v>
      </c>
      <c r="FC13" s="34">
        <f t="shared" si="121"/>
        <v>3.5078954432442237E-2</v>
      </c>
      <c r="FD13" s="13">
        <v>144.51</v>
      </c>
      <c r="FE13" s="38">
        <f t="shared" si="122"/>
        <v>-1.081525087274976E-2</v>
      </c>
      <c r="FF13" s="14">
        <f t="shared" ref="FF13:FF17" si="240">FE13*FC13</f>
        <v>-3.7938769254061998E-4</v>
      </c>
      <c r="FG13" s="15">
        <f t="shared" ref="FG13:FG17" si="241">FD13*$L13</f>
        <v>65729.341285714283</v>
      </c>
      <c r="FH13" s="34">
        <f t="shared" si="125"/>
        <v>3.5328980822447481E-2</v>
      </c>
      <c r="FI13" s="13">
        <v>144.15</v>
      </c>
      <c r="FJ13" s="38">
        <f t="shared" si="126"/>
        <v>-2.4911770811707509E-3</v>
      </c>
      <c r="FK13" s="14">
        <f t="shared" ref="FK13:FK17" si="242">FJ13*FH13</f>
        <v>-8.8010747326002154E-5</v>
      </c>
      <c r="FL13" s="15">
        <f t="shared" ref="FL13:FL17" si="243">FI13*$L13</f>
        <v>65565.597857142857</v>
      </c>
      <c r="FM13" s="34">
        <f t="shared" si="129"/>
        <v>3.5035488136204322E-2</v>
      </c>
      <c r="FN13" s="13">
        <v>144.72</v>
      </c>
      <c r="FO13" s="38">
        <f t="shared" si="130"/>
        <v>3.9542143600415757E-3</v>
      </c>
      <c r="FP13" s="14">
        <f t="shared" ref="FP13:FP17" si="244">FO13*FM13</f>
        <v>1.3853783029924539E-4</v>
      </c>
      <c r="FQ13" s="15">
        <f t="shared" ref="FQ13:FQ17" si="245">FN13*$L13</f>
        <v>65824.85828571429</v>
      </c>
      <c r="FR13" s="34">
        <f t="shared" si="133"/>
        <v>3.5065048234844527E-2</v>
      </c>
      <c r="FS13" s="13">
        <v>142.55000000000001</v>
      </c>
      <c r="FT13" s="38">
        <f t="shared" ref="FT13:FT17" si="246">(FS13-FN13)/FN13</f>
        <v>-1.4994472084024237E-2</v>
      </c>
      <c r="FU13" s="14">
        <f t="shared" ref="FU13:FU17" si="247">FT13*FR13</f>
        <v>-5.2578188688233961E-4</v>
      </c>
      <c r="FV13" s="15">
        <f t="shared" ref="FV13:FV17" si="248">FS13*$L13</f>
        <v>64837.849285714292</v>
      </c>
      <c r="FW13" s="34">
        <f t="shared" si="137"/>
        <v>3.4539266347962186E-2</v>
      </c>
      <c r="FX13" s="13">
        <v>140.38999999999999</v>
      </c>
      <c r="FY13" s="38">
        <f t="shared" si="138"/>
        <v>-1.5152578042792178E-2</v>
      </c>
      <c r="FZ13" s="14">
        <f t="shared" ref="FZ13:FZ17" si="249">FY13*FW13</f>
        <v>-5.2335892887828259E-4</v>
      </c>
      <c r="GA13" s="15">
        <f t="shared" ref="GA13:GA17" si="250">FX13*$L13</f>
        <v>63855.388714285713</v>
      </c>
      <c r="GB13" s="34">
        <f t="shared" si="141"/>
        <v>3.4563448226288172E-2</v>
      </c>
      <c r="GC13" s="13">
        <v>141.63</v>
      </c>
      <c r="GD13" s="38">
        <f t="shared" si="142"/>
        <v>8.8325379300520628E-3</v>
      </c>
      <c r="GE13" s="14">
        <f t="shared" ref="GE13:GE17" si="251">GD13*GB13</f>
        <v>3.0528296745208099E-4</v>
      </c>
      <c r="GF13" s="15">
        <f t="shared" ref="GF13:GF17" si="252">GC13*$L13</f>
        <v>64419.393857142859</v>
      </c>
      <c r="GG13" s="34">
        <f t="shared" si="145"/>
        <v>3.4611243565524294E-2</v>
      </c>
      <c r="GH13" s="13">
        <v>144.96</v>
      </c>
      <c r="GI13" s="38">
        <f t="shared" si="146"/>
        <v>2.3511967803431566E-2</v>
      </c>
      <c r="GJ13" s="14">
        <f t="shared" ref="GJ13:GJ17" si="253">GI13*GG13</f>
        <v>8.1377844434933513E-4</v>
      </c>
      <c r="GK13" s="15">
        <f t="shared" ref="GK13:GK17" si="254">GH13*$L13</f>
        <v>65934.020571428584</v>
      </c>
      <c r="GL13" s="34">
        <f t="shared" si="149"/>
        <v>3.5358786058081793E-2</v>
      </c>
      <c r="GM13" s="13">
        <v>144.05000000000001</v>
      </c>
      <c r="GN13" s="38">
        <f t="shared" si="150"/>
        <v>-6.277593818984524E-3</v>
      </c>
      <c r="GO13" s="14">
        <f t="shared" si="151"/>
        <v>3.9408184156152702E-5</v>
      </c>
      <c r="GP13" s="15">
        <f t="shared" ref="GP13:GP17" si="255">GM13*$L13</f>
        <v>65520.113571428577</v>
      </c>
      <c r="GQ13" s="34">
        <f t="shared" si="153"/>
        <v>3.5643194526283811E-2</v>
      </c>
      <c r="GR13" s="13">
        <v>139.80000000000001</v>
      </c>
      <c r="GS13" s="38">
        <f t="shared" si="154"/>
        <v>-2.9503644567858381E-2</v>
      </c>
      <c r="GT13" s="14">
        <f t="shared" ref="GT13:GT17" si="256">GS13*GQ13</f>
        <v>-1.0516041425665129E-3</v>
      </c>
      <c r="GU13" s="15">
        <f t="shared" ref="GU13:GU17" si="257">GR13*$L13</f>
        <v>63587.031428571434</v>
      </c>
      <c r="GV13" s="34">
        <f t="shared" si="157"/>
        <v>3.4790451460793577E-2</v>
      </c>
      <c r="GW13" s="13">
        <v>142.41</v>
      </c>
      <c r="GX13" s="38">
        <f t="shared" si="158"/>
        <v>1.8669527896995601E-2</v>
      </c>
      <c r="GY13" s="14">
        <f t="shared" ref="GY13:GY17" si="258">GX13*GV13</f>
        <v>6.4952130409635705E-4</v>
      </c>
      <c r="GZ13" s="15">
        <f t="shared" ref="GZ13:GZ17" si="259">GW13*$L13</f>
        <v>64774.171285714285</v>
      </c>
      <c r="HA13" s="34">
        <f t="shared" si="161"/>
        <v>3.5538863044660675E-2</v>
      </c>
      <c r="HB13" s="13">
        <v>135.12</v>
      </c>
      <c r="HC13" s="38">
        <f t="shared" si="162"/>
        <v>-5.1190225405519221E-2</v>
      </c>
      <c r="HD13" s="14">
        <f t="shared" ref="HD13:HD17" si="260">HC13*HA13</f>
        <v>-1.819242409912057E-3</v>
      </c>
      <c r="HE13" s="15">
        <f t="shared" ref="HE13:HE17" si="261">HB13*$L13</f>
        <v>61458.366857142864</v>
      </c>
      <c r="HF13" s="34">
        <f t="shared" si="165"/>
        <v>3.3020343363508037E-2</v>
      </c>
      <c r="HG13" s="13">
        <v>138.53</v>
      </c>
      <c r="HH13" s="38">
        <f t="shared" si="166"/>
        <v>2.5236826524570728E-2</v>
      </c>
      <c r="HI13" s="14">
        <f t="shared" ref="HI13:HI17" si="262">HH13*HF13</f>
        <v>8.3332867724661256E-4</v>
      </c>
      <c r="HJ13" s="15">
        <f t="shared" ref="HJ13:HJ17" si="263">HG13*$L13</f>
        <v>63009.381000000001</v>
      </c>
      <c r="HK13" s="34">
        <f t="shared" si="169"/>
        <v>3.4954385131259105E-2</v>
      </c>
      <c r="HL13" s="13">
        <v>144.9</v>
      </c>
      <c r="HM13" s="38">
        <f t="shared" si="170"/>
        <v>4.5982819605861577E-2</v>
      </c>
      <c r="HN13" s="14">
        <f t="shared" si="171"/>
        <v>2.1144196989052078E-3</v>
      </c>
      <c r="HO13" s="15">
        <f t="shared" ref="HO13:HO17" si="264">HL13*$L13</f>
        <v>65906.73000000001</v>
      </c>
      <c r="HP13" s="34">
        <f t="shared" si="173"/>
        <v>3.5794683727093289E-2</v>
      </c>
    </row>
    <row r="14" spans="2:224" s="5" customFormat="1" ht="18" customHeight="1" x14ac:dyDescent="0.45">
      <c r="B14" s="282">
        <v>8</v>
      </c>
      <c r="C14" s="280" t="s">
        <v>10</v>
      </c>
      <c r="D14" s="172" t="s">
        <v>127</v>
      </c>
      <c r="E14" s="11">
        <v>35</v>
      </c>
      <c r="F14" s="12">
        <v>67398</v>
      </c>
      <c r="G14" s="170">
        <f t="shared" si="22"/>
        <v>3.5710803845436512E-2</v>
      </c>
      <c r="H14" s="168">
        <v>12.9</v>
      </c>
      <c r="I14" s="13">
        <v>34.29</v>
      </c>
      <c r="J14" s="38">
        <f t="shared" si="23"/>
        <v>-2.028571428571431E-2</v>
      </c>
      <c r="K14" s="14">
        <f t="shared" si="24"/>
        <v>-7.2441916372171296E-4</v>
      </c>
      <c r="L14" s="15">
        <f t="shared" si="25"/>
        <v>1925.6571428571428</v>
      </c>
      <c r="M14" s="16">
        <f t="shared" si="26"/>
        <v>66030.78342857142</v>
      </c>
      <c r="N14" s="17">
        <f t="shared" si="27"/>
        <v>3.6894196748215626E-2</v>
      </c>
      <c r="O14" s="13">
        <v>33.65</v>
      </c>
      <c r="P14" s="38">
        <f t="shared" si="0"/>
        <v>-1.8664333624963562E-2</v>
      </c>
      <c r="Q14" s="14">
        <f t="shared" si="1"/>
        <v>-6.8860559693374225E-4</v>
      </c>
      <c r="R14" s="15">
        <f t="shared" si="2"/>
        <v>64798.362857142856</v>
      </c>
      <c r="S14" s="34">
        <f t="shared" si="28"/>
        <v>3.6524908035844836E-2</v>
      </c>
      <c r="T14" s="13">
        <v>33.68</v>
      </c>
      <c r="U14" s="38">
        <f t="shared" si="3"/>
        <v>8.9153046062410513E-4</v>
      </c>
      <c r="V14" s="14">
        <f t="shared" si="4"/>
        <v>3.2563068085449828E-5</v>
      </c>
      <c r="W14" s="15">
        <f t="shared" si="29"/>
        <v>64856.13257142857</v>
      </c>
      <c r="X14" s="34">
        <f t="shared" si="30"/>
        <v>3.6614214714330379E-2</v>
      </c>
      <c r="Y14" s="13">
        <v>33.82</v>
      </c>
      <c r="Z14" s="38">
        <f t="shared" si="5"/>
        <v>4.1567695961995423E-3</v>
      </c>
      <c r="AA14" s="14">
        <f t="shared" si="31"/>
        <v>1.5219685451325042E-4</v>
      </c>
      <c r="AB14" s="15">
        <f t="shared" si="32"/>
        <v>65125.724571428575</v>
      </c>
      <c r="AC14" s="34">
        <f t="shared" si="33"/>
        <v>3.6346873163551355E-2</v>
      </c>
      <c r="AD14" s="13">
        <v>33.79</v>
      </c>
      <c r="AE14" s="38">
        <f t="shared" si="6"/>
        <v>-8.8704908338264746E-4</v>
      </c>
      <c r="AF14" s="14">
        <f t="shared" si="7"/>
        <v>-3.2241460523553575E-5</v>
      </c>
      <c r="AG14" s="15">
        <f t="shared" si="34"/>
        <v>65067.954857142853</v>
      </c>
      <c r="AH14" s="34">
        <f t="shared" si="35"/>
        <v>3.6937117562281789E-2</v>
      </c>
      <c r="AI14" s="13">
        <v>33.43</v>
      </c>
      <c r="AJ14" s="38">
        <f t="shared" si="8"/>
        <v>-1.0654039656703151E-2</v>
      </c>
      <c r="AK14" s="14">
        <f t="shared" si="9"/>
        <v>-3.9352951531285661E-4</v>
      </c>
      <c r="AL14" s="15">
        <f t="shared" si="36"/>
        <v>64374.718285714283</v>
      </c>
      <c r="AM14" s="34">
        <f t="shared" si="37"/>
        <v>3.7308578865715557E-2</v>
      </c>
      <c r="AN14" s="13">
        <v>33.54</v>
      </c>
      <c r="AO14" s="38">
        <f t="shared" si="38"/>
        <v>3.2904576727490107E-3</v>
      </c>
      <c r="AP14" s="14">
        <f t="shared" si="10"/>
        <v>1.2276229958805535E-4</v>
      </c>
      <c r="AQ14" s="15">
        <f t="shared" si="39"/>
        <v>64586.540571428566</v>
      </c>
      <c r="AR14" s="34">
        <f t="shared" si="40"/>
        <v>3.7040646425956066E-2</v>
      </c>
      <c r="AS14" s="13">
        <v>33.49</v>
      </c>
      <c r="AT14" s="38">
        <f t="shared" si="11"/>
        <v>-1.4907573047107084E-3</v>
      </c>
      <c r="AU14" s="14">
        <f t="shared" si="12"/>
        <v>-5.5218614230700596E-5</v>
      </c>
      <c r="AV14" s="15">
        <f t="shared" si="41"/>
        <v>64490.257714285719</v>
      </c>
      <c r="AW14" s="34">
        <f t="shared" si="42"/>
        <v>3.6958776528162388E-2</v>
      </c>
      <c r="AX14" s="13">
        <v>33.770000000000003</v>
      </c>
      <c r="AY14" s="38">
        <f t="shared" si="13"/>
        <v>8.36070468796659E-3</v>
      </c>
      <c r="AZ14" s="14">
        <f t="shared" si="14"/>
        <v>3.0900141618051685E-4</v>
      </c>
      <c r="BA14" s="15">
        <f t="shared" si="43"/>
        <v>65029.44171428572</v>
      </c>
      <c r="BB14" s="34">
        <f t="shared" si="44"/>
        <v>3.7184066604956836E-2</v>
      </c>
      <c r="BC14" s="13">
        <v>33.43</v>
      </c>
      <c r="BD14" s="38">
        <f t="shared" si="15"/>
        <v>-1.0068107787977594E-2</v>
      </c>
      <c r="BE14" s="14">
        <f t="shared" si="16"/>
        <v>-3.7437319057404353E-4</v>
      </c>
      <c r="BF14" s="15">
        <f t="shared" si="45"/>
        <v>64374.718285714283</v>
      </c>
      <c r="BG14" s="34">
        <f t="shared" si="46"/>
        <v>3.6828258970608048E-2</v>
      </c>
      <c r="BH14" s="13">
        <v>33.79</v>
      </c>
      <c r="BI14" s="38">
        <f t="shared" si="17"/>
        <v>1.0768770565360438E-2</v>
      </c>
      <c r="BJ14" s="14">
        <f t="shared" si="18"/>
        <v>3.9659507117615543E-4</v>
      </c>
      <c r="BK14" s="15">
        <f t="shared" si="47"/>
        <v>65067.954857142853</v>
      </c>
      <c r="BL14" s="34">
        <f t="shared" si="48"/>
        <v>3.629030511340102E-2</v>
      </c>
      <c r="BM14" s="13">
        <v>33.71</v>
      </c>
      <c r="BN14" s="38">
        <f t="shared" si="19"/>
        <v>-2.367564368156209E-3</v>
      </c>
      <c r="BO14" s="14">
        <f t="shared" si="205"/>
        <v>-8.5919633296005333E-5</v>
      </c>
      <c r="BP14" s="15">
        <f t="shared" si="49"/>
        <v>64913.902285714285</v>
      </c>
      <c r="BQ14" s="34">
        <f t="shared" si="50"/>
        <v>3.6320620430479886E-2</v>
      </c>
      <c r="BR14" s="13">
        <v>33.880000000000003</v>
      </c>
      <c r="BS14" s="38">
        <f t="shared" si="51"/>
        <v>5.0430139424503615E-3</v>
      </c>
      <c r="BT14" s="14">
        <f t="shared" si="206"/>
        <v>1.8316539522935751E-4</v>
      </c>
      <c r="BU14" s="15">
        <f t="shared" si="207"/>
        <v>65241.264000000003</v>
      </c>
      <c r="BV14" s="34">
        <f t="shared" si="54"/>
        <v>3.6441572557433327E-2</v>
      </c>
      <c r="BW14" s="13">
        <v>33.42</v>
      </c>
      <c r="BX14" s="38">
        <f t="shared" si="55"/>
        <v>-1.3577331759149965E-2</v>
      </c>
      <c r="BY14" s="14">
        <f t="shared" si="208"/>
        <v>-4.9477932043740728E-4</v>
      </c>
      <c r="BZ14" s="15">
        <f t="shared" si="209"/>
        <v>64355.461714285717</v>
      </c>
      <c r="CA14" s="34">
        <f t="shared" si="58"/>
        <v>3.6235983581367537E-2</v>
      </c>
      <c r="CB14" s="13">
        <v>32.950000000000003</v>
      </c>
      <c r="CC14" s="38">
        <f t="shared" si="59"/>
        <v>-1.4063435068821031E-2</v>
      </c>
      <c r="CD14" s="14">
        <f t="shared" si="210"/>
        <v>-5.0960240225142732E-4</v>
      </c>
      <c r="CE14" s="15">
        <f t="shared" si="211"/>
        <v>63450.402857142864</v>
      </c>
      <c r="CF14" s="34">
        <f t="shared" si="62"/>
        <v>3.6312039379798919E-2</v>
      </c>
      <c r="CG14" s="13">
        <v>32.79</v>
      </c>
      <c r="CH14" s="38">
        <f t="shared" si="63"/>
        <v>-4.8558421851290952E-3</v>
      </c>
      <c r="CI14" s="14">
        <f t="shared" si="212"/>
        <v>-1.7632553264849653E-4</v>
      </c>
      <c r="CJ14" s="15">
        <f t="shared" si="213"/>
        <v>63142.297714285713</v>
      </c>
      <c r="CK14" s="34">
        <f t="shared" si="66"/>
        <v>3.5688466333279115E-2</v>
      </c>
      <c r="CL14" s="13">
        <v>33.01</v>
      </c>
      <c r="CM14" s="38">
        <f t="shared" si="67"/>
        <v>6.7093626105519631E-3</v>
      </c>
      <c r="CN14" s="14">
        <f t="shared" si="214"/>
        <v>2.3944686164444542E-4</v>
      </c>
      <c r="CO14" s="15">
        <f t="shared" si="215"/>
        <v>63565.942285714278</v>
      </c>
      <c r="CP14" s="34">
        <f t="shared" si="70"/>
        <v>3.5972518908142279E-2</v>
      </c>
      <c r="CQ14" s="13">
        <v>32.92</v>
      </c>
      <c r="CR14" s="38">
        <f t="shared" si="71"/>
        <v>-2.7264465313540233E-3</v>
      </c>
      <c r="CS14" s="14">
        <f t="shared" si="216"/>
        <v>-9.8077149401171532E-5</v>
      </c>
      <c r="CT14" s="15">
        <f t="shared" si="217"/>
        <v>63392.633142857143</v>
      </c>
      <c r="CU14" s="34">
        <f t="shared" si="218"/>
        <v>3.5339939771054915E-2</v>
      </c>
      <c r="CV14" s="13">
        <v>32.93</v>
      </c>
      <c r="CW14" s="38">
        <f t="shared" si="74"/>
        <v>3.0376670716883382E-4</v>
      </c>
      <c r="CX14" s="14">
        <f t="shared" si="75"/>
        <v>9.2274212384196037E-8</v>
      </c>
      <c r="CY14" s="15">
        <f t="shared" si="219"/>
        <v>63411.889714285717</v>
      </c>
      <c r="CZ14" s="34">
        <f t="shared" si="77"/>
        <v>3.5399881046062204E-2</v>
      </c>
      <c r="DA14" s="13">
        <v>32.71</v>
      </c>
      <c r="DB14" s="38">
        <f t="shared" si="78"/>
        <v>-6.6808381415122643E-3</v>
      </c>
      <c r="DC14" s="14">
        <f t="shared" si="220"/>
        <v>-2.3650087549752946E-4</v>
      </c>
      <c r="DD14" s="15">
        <f t="shared" si="221"/>
        <v>62988.245142857144</v>
      </c>
      <c r="DE14" s="34">
        <f t="shared" si="81"/>
        <v>3.5283335155456466E-2</v>
      </c>
      <c r="DF14" s="13">
        <v>33.43</v>
      </c>
      <c r="DG14" s="38">
        <f t="shared" si="82"/>
        <v>2.201161724243347E-2</v>
      </c>
      <c r="DH14" s="14">
        <f t="shared" si="222"/>
        <v>7.7664326847840459E-4</v>
      </c>
      <c r="DI14" s="15">
        <f t="shared" si="223"/>
        <v>64374.718285714283</v>
      </c>
      <c r="DJ14" s="34">
        <f t="shared" si="85"/>
        <v>3.4974273417804465E-2</v>
      </c>
      <c r="DK14" s="13">
        <v>33.43</v>
      </c>
      <c r="DL14" s="38">
        <f t="shared" si="86"/>
        <v>0</v>
      </c>
      <c r="DM14" s="14">
        <f t="shared" si="224"/>
        <v>0</v>
      </c>
      <c r="DN14" s="15">
        <f t="shared" si="225"/>
        <v>64374.718285714283</v>
      </c>
      <c r="DO14" s="34">
        <f t="shared" si="89"/>
        <v>3.5340040572997701E-2</v>
      </c>
      <c r="DP14" s="13">
        <v>32.42</v>
      </c>
      <c r="DQ14" s="38">
        <f t="shared" si="90"/>
        <v>-3.0212384086150106E-2</v>
      </c>
      <c r="DR14" s="14">
        <f t="shared" si="226"/>
        <v>-1.0677068794115348E-3</v>
      </c>
      <c r="DS14" s="15">
        <f t="shared" si="227"/>
        <v>62429.804571428576</v>
      </c>
      <c r="DT14" s="34">
        <f t="shared" si="93"/>
        <v>3.4537978554018273E-2</v>
      </c>
      <c r="DU14" s="13">
        <v>33.369999999999997</v>
      </c>
      <c r="DV14" s="38">
        <f t="shared" si="94"/>
        <v>2.9302899444787034E-2</v>
      </c>
      <c r="DW14" s="14">
        <f t="shared" si="95"/>
        <v>8.5865991587130025E-4</v>
      </c>
      <c r="DX14" s="15">
        <f t="shared" si="228"/>
        <v>64259.178857142855</v>
      </c>
      <c r="DY14" s="34">
        <f t="shared" si="97"/>
        <v>3.4866461064916067E-2</v>
      </c>
      <c r="DZ14" s="13">
        <v>33.840000000000003</v>
      </c>
      <c r="EA14" s="38">
        <f t="shared" si="98"/>
        <v>1.4084507042253702E-2</v>
      </c>
      <c r="EB14" s="14">
        <f t="shared" si="229"/>
        <v>4.9107691640727484E-4</v>
      </c>
      <c r="EC14" s="15">
        <f t="shared" si="230"/>
        <v>65164.237714285722</v>
      </c>
      <c r="ED14" s="34">
        <f t="shared" si="101"/>
        <v>3.5150443953570719E-2</v>
      </c>
      <c r="EE14" s="13">
        <v>34.03</v>
      </c>
      <c r="EF14" s="38">
        <f t="shared" si="102"/>
        <v>5.6146572104018239E-3</v>
      </c>
      <c r="EG14" s="14">
        <f t="shared" si="231"/>
        <v>1.9735769359274102E-4</v>
      </c>
      <c r="EH14" s="15">
        <f t="shared" si="232"/>
        <v>65530.112571428574</v>
      </c>
      <c r="EI14" s="34">
        <f t="shared" si="105"/>
        <v>3.544872317178166E-2</v>
      </c>
      <c r="EJ14" s="13">
        <v>35.58</v>
      </c>
      <c r="EK14" s="38">
        <f t="shared" si="106"/>
        <v>4.5548045841904118E-2</v>
      </c>
      <c r="EL14" s="14">
        <f t="shared" si="233"/>
        <v>1.6146200680652797E-3</v>
      </c>
      <c r="EM14" s="15">
        <f t="shared" si="234"/>
        <v>68514.881142857135</v>
      </c>
      <c r="EN14" s="34">
        <f t="shared" si="109"/>
        <v>3.6418962813262006E-2</v>
      </c>
      <c r="EO14" s="13">
        <v>35.229999999999997</v>
      </c>
      <c r="EP14" s="38">
        <f t="shared" si="110"/>
        <v>-9.8369870713884613E-3</v>
      </c>
      <c r="EQ14" s="14">
        <f t="shared" si="235"/>
        <v>-3.5825286634743551E-4</v>
      </c>
      <c r="ER14" s="15">
        <f t="shared" si="236"/>
        <v>67840.901142857139</v>
      </c>
      <c r="ES14" s="34">
        <f t="shared" si="113"/>
        <v>3.5761677435063054E-2</v>
      </c>
      <c r="ET14" s="13">
        <v>35.090000000000003</v>
      </c>
      <c r="EU14" s="38">
        <f t="shared" si="114"/>
        <v>-3.973885892704896E-3</v>
      </c>
      <c r="EV14" s="14">
        <f t="shared" si="115"/>
        <v>1.5791769088238988E-5</v>
      </c>
      <c r="EW14" s="15">
        <f t="shared" si="237"/>
        <v>67571.30914285715</v>
      </c>
      <c r="EX14" s="34">
        <f t="shared" si="117"/>
        <v>3.5847485188148037E-2</v>
      </c>
      <c r="EY14" s="13">
        <v>35.380000000000003</v>
      </c>
      <c r="EZ14" s="38">
        <f t="shared" si="118"/>
        <v>8.2644628099173296E-3</v>
      </c>
      <c r="FA14" s="14">
        <f t="shared" si="238"/>
        <v>2.9626020816651176E-4</v>
      </c>
      <c r="FB14" s="15">
        <f t="shared" si="239"/>
        <v>68129.749714285717</v>
      </c>
      <c r="FC14" s="34">
        <f t="shared" si="121"/>
        <v>3.5966780602705681E-2</v>
      </c>
      <c r="FD14" s="13">
        <v>34.950000000000003</v>
      </c>
      <c r="FE14" s="38">
        <f t="shared" si="122"/>
        <v>-1.2153759185980771E-2</v>
      </c>
      <c r="FF14" s="14">
        <f t="shared" si="240"/>
        <v>-4.3713159014028917E-4</v>
      </c>
      <c r="FG14" s="15">
        <f t="shared" si="241"/>
        <v>67301.717142857146</v>
      </c>
      <c r="FH14" s="34">
        <f t="shared" si="125"/>
        <v>3.6174119924955922E-2</v>
      </c>
      <c r="FI14" s="13">
        <v>34.9</v>
      </c>
      <c r="FJ14" s="38">
        <f t="shared" si="126"/>
        <v>-1.4306151645208658E-3</v>
      </c>
      <c r="FK14" s="14">
        <f t="shared" si="242"/>
        <v>-5.1751244527838346E-5</v>
      </c>
      <c r="FL14" s="15">
        <f t="shared" si="243"/>
        <v>67205.434285714276</v>
      </c>
      <c r="FM14" s="34">
        <f t="shared" si="129"/>
        <v>3.5911747510269813E-2</v>
      </c>
      <c r="FN14" s="13">
        <v>34.47</v>
      </c>
      <c r="FO14" s="38">
        <f t="shared" si="130"/>
        <v>-1.2320916905444118E-2</v>
      </c>
      <c r="FP14" s="14">
        <f t="shared" si="244"/>
        <v>-4.424656570033241E-4</v>
      </c>
      <c r="FQ14" s="15">
        <f t="shared" si="245"/>
        <v>66377.401714285705</v>
      </c>
      <c r="FR14" s="34">
        <f t="shared" si="133"/>
        <v>3.5359389346687191E-2</v>
      </c>
      <c r="FS14" s="13">
        <v>34.01</v>
      </c>
      <c r="FT14" s="38">
        <f t="shared" si="246"/>
        <v>-1.3344937626921986E-2</v>
      </c>
      <c r="FU14" s="14">
        <f t="shared" si="247"/>
        <v>-4.7186884535759031E-4</v>
      </c>
      <c r="FV14" s="15">
        <f t="shared" si="248"/>
        <v>65491.599428571426</v>
      </c>
      <c r="FW14" s="34">
        <f t="shared" si="137"/>
        <v>3.4887520501329608E-2</v>
      </c>
      <c r="FX14" s="13">
        <v>34.1</v>
      </c>
      <c r="FY14" s="38">
        <f t="shared" si="138"/>
        <v>2.6462805057337084E-3</v>
      </c>
      <c r="FZ14" s="14">
        <f t="shared" si="249"/>
        <v>9.2322165396053639E-5</v>
      </c>
      <c r="GA14" s="15">
        <f t="shared" si="250"/>
        <v>65664.908571428576</v>
      </c>
      <c r="GB14" s="34">
        <f t="shared" si="141"/>
        <v>3.5542899564007545E-2</v>
      </c>
      <c r="GC14" s="13">
        <v>34.18</v>
      </c>
      <c r="GD14" s="38">
        <f t="shared" si="142"/>
        <v>2.3460410557184248E-3</v>
      </c>
      <c r="GE14" s="14">
        <f t="shared" si="251"/>
        <v>8.3385101616438194E-5</v>
      </c>
      <c r="GF14" s="15">
        <f t="shared" si="252"/>
        <v>65818.961142857137</v>
      </c>
      <c r="GG14" s="34">
        <f t="shared" si="145"/>
        <v>3.5363202895033349E-2</v>
      </c>
      <c r="GH14" s="13">
        <v>34.450000000000003</v>
      </c>
      <c r="GI14" s="38">
        <f t="shared" si="146"/>
        <v>7.8993563487420454E-3</v>
      </c>
      <c r="GJ14" s="14">
        <f t="shared" si="253"/>
        <v>2.7934654130073479E-4</v>
      </c>
      <c r="GK14" s="15">
        <f t="shared" si="254"/>
        <v>66338.888571428572</v>
      </c>
      <c r="GL14" s="34">
        <f t="shared" si="149"/>
        <v>3.5575906762532909E-2</v>
      </c>
      <c r="GM14" s="13">
        <v>34.369999999999997</v>
      </c>
      <c r="GN14" s="38">
        <f t="shared" si="150"/>
        <v>-2.3222060957911578E-3</v>
      </c>
      <c r="GO14" s="14">
        <f t="shared" si="151"/>
        <v>5.3926411513296124E-6</v>
      </c>
      <c r="GP14" s="15">
        <f t="shared" si="255"/>
        <v>66184.835999999996</v>
      </c>
      <c r="GQ14" s="34">
        <f t="shared" si="153"/>
        <v>3.6004806091589257E-2</v>
      </c>
      <c r="GR14" s="13">
        <v>34.200000000000003</v>
      </c>
      <c r="GS14" s="38">
        <f t="shared" si="154"/>
        <v>-4.9461739889436898E-3</v>
      </c>
      <c r="GT14" s="14">
        <f t="shared" si="256"/>
        <v>-1.7808603536718009E-4</v>
      </c>
      <c r="GU14" s="15">
        <f t="shared" si="257"/>
        <v>65857.474285714285</v>
      </c>
      <c r="GV14" s="34">
        <f t="shared" si="157"/>
        <v>3.6032681680404702E-2</v>
      </c>
      <c r="GW14" s="13">
        <v>34.03</v>
      </c>
      <c r="GX14" s="38">
        <f t="shared" si="158"/>
        <v>-4.9707602339181785E-3</v>
      </c>
      <c r="GY14" s="14">
        <f t="shared" si="258"/>
        <v>-1.7910982121838775E-4</v>
      </c>
      <c r="GZ14" s="15">
        <f t="shared" si="259"/>
        <v>65530.112571428574</v>
      </c>
      <c r="HA14" s="34">
        <f t="shared" si="161"/>
        <v>3.5953616229295091E-2</v>
      </c>
      <c r="HB14" s="13">
        <v>33.47</v>
      </c>
      <c r="HC14" s="38">
        <f t="shared" si="162"/>
        <v>-1.645606817513965E-2</v>
      </c>
      <c r="HD14" s="14">
        <f t="shared" si="260"/>
        <v>-5.9165515981208735E-4</v>
      </c>
      <c r="HE14" s="15">
        <f t="shared" si="261"/>
        <v>64451.744571428571</v>
      </c>
      <c r="HF14" s="34">
        <f t="shared" si="165"/>
        <v>3.4628624953094392E-2</v>
      </c>
      <c r="HG14" s="13">
        <v>33.76</v>
      </c>
      <c r="HH14" s="38">
        <f t="shared" si="166"/>
        <v>8.6644756498356484E-3</v>
      </c>
      <c r="HI14" s="14">
        <f t="shared" si="262"/>
        <v>3.0003887769337748E-4</v>
      </c>
      <c r="HJ14" s="15">
        <f t="shared" si="263"/>
        <v>65010.185142857139</v>
      </c>
      <c r="HK14" s="34">
        <f t="shared" si="169"/>
        <v>3.6064329039161444E-2</v>
      </c>
      <c r="HL14" s="13">
        <v>33.799999999999997</v>
      </c>
      <c r="HM14" s="38">
        <f t="shared" si="170"/>
        <v>1.1848341232227235E-3</v>
      </c>
      <c r="HN14" s="14">
        <f t="shared" si="171"/>
        <v>1.40383189955296E-6</v>
      </c>
      <c r="HO14" s="15">
        <f t="shared" si="264"/>
        <v>65087.21142857142</v>
      </c>
      <c r="HP14" s="34">
        <f t="shared" si="173"/>
        <v>3.5349594006016768E-2</v>
      </c>
    </row>
    <row r="15" spans="2:224" s="5" customFormat="1" ht="18" customHeight="1" x14ac:dyDescent="0.45">
      <c r="B15" s="282">
        <v>9</v>
      </c>
      <c r="C15" s="280" t="s">
        <v>11</v>
      </c>
      <c r="D15" s="172" t="s">
        <v>128</v>
      </c>
      <c r="E15" s="11">
        <v>78.400000000000006</v>
      </c>
      <c r="F15" s="12">
        <v>60279</v>
      </c>
      <c r="G15" s="170">
        <f t="shared" si="22"/>
        <v>3.1938804489733637E-2</v>
      </c>
      <c r="H15" s="168">
        <v>8.59</v>
      </c>
      <c r="I15" s="13">
        <v>81.42</v>
      </c>
      <c r="J15" s="38">
        <f t="shared" si="23"/>
        <v>3.8520408163265255E-2</v>
      </c>
      <c r="K15" s="14">
        <f t="shared" si="24"/>
        <v>1.2302957851912685E-3</v>
      </c>
      <c r="L15" s="15">
        <f t="shared" si="25"/>
        <v>768.86479591836724</v>
      </c>
      <c r="M15" s="16">
        <f t="shared" si="26"/>
        <v>62600.971683673459</v>
      </c>
      <c r="N15" s="17">
        <f t="shared" si="27"/>
        <v>3.4977815588472294E-2</v>
      </c>
      <c r="O15" s="13">
        <v>78.37</v>
      </c>
      <c r="P15" s="38">
        <f t="shared" si="0"/>
        <v>-3.746008351756322E-2</v>
      </c>
      <c r="Q15" s="14">
        <f t="shared" si="1"/>
        <v>-1.3102718932060968E-3</v>
      </c>
      <c r="R15" s="15">
        <f t="shared" si="2"/>
        <v>60255.934056122445</v>
      </c>
      <c r="S15" s="34">
        <f t="shared" si="28"/>
        <v>3.3964476152983543E-2</v>
      </c>
      <c r="T15" s="13">
        <v>79.97</v>
      </c>
      <c r="U15" s="38">
        <f t="shared" si="3"/>
        <v>2.0415975500829325E-2</v>
      </c>
      <c r="V15" s="14">
        <f t="shared" si="4"/>
        <v>6.9341791303781386E-4</v>
      </c>
      <c r="W15" s="15">
        <f t="shared" si="29"/>
        <v>61486.117729591824</v>
      </c>
      <c r="X15" s="34">
        <f t="shared" si="30"/>
        <v>3.4711689199513472E-2</v>
      </c>
      <c r="Y15" s="13">
        <v>78.5</v>
      </c>
      <c r="Z15" s="38">
        <f t="shared" si="5"/>
        <v>-1.8381893209953717E-2</v>
      </c>
      <c r="AA15" s="14">
        <f t="shared" si="31"/>
        <v>-6.3806656400256043E-4</v>
      </c>
      <c r="AB15" s="15">
        <f t="shared" si="32"/>
        <v>60355.886479591827</v>
      </c>
      <c r="AC15" s="34">
        <f t="shared" si="33"/>
        <v>3.3684811416437602E-2</v>
      </c>
      <c r="AD15" s="13">
        <v>78.02</v>
      </c>
      <c r="AE15" s="38">
        <f t="shared" si="6"/>
        <v>-6.1146496815287135E-3</v>
      </c>
      <c r="AF15" s="14">
        <f t="shared" si="7"/>
        <v>-2.0597082139987496E-4</v>
      </c>
      <c r="AG15" s="15">
        <f t="shared" si="34"/>
        <v>59986.831377551011</v>
      </c>
      <c r="AH15" s="34">
        <f t="shared" si="35"/>
        <v>3.4052716850345915E-2</v>
      </c>
      <c r="AI15" s="13">
        <v>77.8</v>
      </c>
      <c r="AJ15" s="38">
        <f t="shared" si="8"/>
        <v>-2.8197897974878094E-3</v>
      </c>
      <c r="AK15" s="14">
        <f t="shared" si="9"/>
        <v>-9.6021503551346624E-5</v>
      </c>
      <c r="AL15" s="15">
        <f t="shared" si="36"/>
        <v>59817.681122448972</v>
      </c>
      <c r="AM15" s="34">
        <f t="shared" si="37"/>
        <v>3.4667533049482294E-2</v>
      </c>
      <c r="AN15" s="13">
        <v>78.34</v>
      </c>
      <c r="AO15" s="38">
        <f t="shared" si="38"/>
        <v>6.9408740359897976E-3</v>
      </c>
      <c r="AP15" s="14">
        <f t="shared" si="10"/>
        <v>2.4062298003496986E-4</v>
      </c>
      <c r="AQ15" s="15">
        <f t="shared" si="39"/>
        <v>60232.868112244891</v>
      </c>
      <c r="AR15" s="34">
        <f>AQ15/$AQ$19</f>
        <v>3.4543797379881225E-2</v>
      </c>
      <c r="AS15" s="13">
        <v>78.75</v>
      </c>
      <c r="AT15" s="38">
        <f t="shared" si="11"/>
        <v>5.2335971406688355E-3</v>
      </c>
      <c r="AU15" s="14">
        <f t="shared" si="12"/>
        <v>1.8078831919518998E-4</v>
      </c>
      <c r="AV15" s="15">
        <f t="shared" si="41"/>
        <v>60548.10267857142</v>
      </c>
      <c r="AW15" s="34">
        <f t="shared" si="42"/>
        <v>3.4699563552927831E-2</v>
      </c>
      <c r="AX15" s="13">
        <v>79.760000000000005</v>
      </c>
      <c r="AY15" s="38">
        <f t="shared" si="13"/>
        <v>1.2825396825396891E-2</v>
      </c>
      <c r="AZ15" s="14">
        <f t="shared" si="14"/>
        <v>4.4503567223437828E-4</v>
      </c>
      <c r="BA15" s="15">
        <f t="shared" si="43"/>
        <v>61324.656122448978</v>
      </c>
      <c r="BB15" s="34">
        <f t="shared" si="44"/>
        <v>3.5065656995826228E-2</v>
      </c>
      <c r="BC15" s="13">
        <v>80.040000000000006</v>
      </c>
      <c r="BD15" s="38">
        <f t="shared" si="15"/>
        <v>3.5105315947843671E-3</v>
      </c>
      <c r="BE15" s="14">
        <f t="shared" si="16"/>
        <v>1.2309909677571943E-4</v>
      </c>
      <c r="BF15" s="15">
        <f t="shared" si="45"/>
        <v>61539.938265306118</v>
      </c>
      <c r="BG15" s="34">
        <f t="shared" si="46"/>
        <v>3.5206504103224567E-2</v>
      </c>
      <c r="BH15" s="13">
        <v>80.87</v>
      </c>
      <c r="BI15" s="38">
        <f t="shared" si="17"/>
        <v>1.036981509245375E-2</v>
      </c>
      <c r="BJ15" s="14">
        <f t="shared" si="18"/>
        <v>3.6508493760215304E-4</v>
      </c>
      <c r="BK15" s="15">
        <f t="shared" si="47"/>
        <v>62178.096045918363</v>
      </c>
      <c r="BL15" s="34">
        <f t="shared" si="48"/>
        <v>3.4678546172702204E-2</v>
      </c>
      <c r="BM15" s="13">
        <v>80.150000000000006</v>
      </c>
      <c r="BN15" s="38">
        <f t="shared" si="19"/>
        <v>-8.9031779399035352E-3</v>
      </c>
      <c r="BO15" s="14">
        <f t="shared" si="205"/>
        <v>-3.0874926727272845E-4</v>
      </c>
      <c r="BP15" s="15">
        <f t="shared" si="49"/>
        <v>61624.513392857138</v>
      </c>
      <c r="BQ15" s="34">
        <f t="shared" si="50"/>
        <v>3.4480141870126969E-2</v>
      </c>
      <c r="BR15" s="13">
        <v>80.08</v>
      </c>
      <c r="BS15" s="38">
        <f t="shared" si="51"/>
        <v>-8.7336244541493934E-4</v>
      </c>
      <c r="BT15" s="14">
        <f t="shared" si="206"/>
        <v>-3.0113661021948131E-5</v>
      </c>
      <c r="BU15" s="15">
        <f t="shared" si="207"/>
        <v>61570.692857142843</v>
      </c>
      <c r="BV15" s="34">
        <f t="shared" si="54"/>
        <v>3.4391315152401292E-2</v>
      </c>
      <c r="BW15" s="13">
        <v>79.27</v>
      </c>
      <c r="BX15" s="38">
        <f t="shared" si="55"/>
        <v>-1.0114885114885144E-2</v>
      </c>
      <c r="BY15" s="14">
        <f t="shared" si="208"/>
        <v>-3.478642017163477E-4</v>
      </c>
      <c r="BZ15" s="15">
        <f t="shared" si="209"/>
        <v>60947.912372448969</v>
      </c>
      <c r="CA15" s="34">
        <f t="shared" si="58"/>
        <v>3.4317328991463683E-2</v>
      </c>
      <c r="CB15" s="13">
        <v>77.64</v>
      </c>
      <c r="CC15" s="38">
        <f t="shared" si="59"/>
        <v>-2.056263403557456E-2</v>
      </c>
      <c r="CD15" s="14">
        <f t="shared" si="210"/>
        <v>-7.0565467712988071E-4</v>
      </c>
      <c r="CE15" s="15">
        <f t="shared" si="211"/>
        <v>59694.662755102036</v>
      </c>
      <c r="CF15" s="34">
        <f t="shared" si="62"/>
        <v>3.4162666383812594E-2</v>
      </c>
      <c r="CG15" s="13">
        <v>80.5</v>
      </c>
      <c r="CH15" s="38">
        <f t="shared" si="63"/>
        <v>3.6836682122617197E-2</v>
      </c>
      <c r="CI15" s="14">
        <f t="shared" si="212"/>
        <v>1.2584392820415248E-3</v>
      </c>
      <c r="CJ15" s="15">
        <f t="shared" si="213"/>
        <v>61893.616071428565</v>
      </c>
      <c r="CK15" s="34">
        <f t="shared" si="66"/>
        <v>3.4982702774060258E-2</v>
      </c>
      <c r="CL15" s="13">
        <v>79.739999999999995</v>
      </c>
      <c r="CM15" s="38">
        <f t="shared" si="67"/>
        <v>-9.4409937888199399E-3</v>
      </c>
      <c r="CN15" s="14">
        <f t="shared" si="214"/>
        <v>-3.30271479606037E-4</v>
      </c>
      <c r="CO15" s="15">
        <f t="shared" si="215"/>
        <v>61309.278826530601</v>
      </c>
      <c r="CP15" s="34">
        <f t="shared" si="70"/>
        <v>3.4695453453973082E-2</v>
      </c>
      <c r="CQ15" s="13">
        <v>79.900000000000006</v>
      </c>
      <c r="CR15" s="38">
        <f t="shared" si="71"/>
        <v>2.0065211938802459E-3</v>
      </c>
      <c r="CS15" s="14">
        <f t="shared" si="216"/>
        <v>6.9617162686682574E-5</v>
      </c>
      <c r="CT15" s="15">
        <f t="shared" si="217"/>
        <v>61432.297193877544</v>
      </c>
      <c r="CU15" s="34">
        <f t="shared" si="218"/>
        <v>3.424709741803493E-2</v>
      </c>
      <c r="CV15" s="13">
        <v>79.19</v>
      </c>
      <c r="CW15" s="38">
        <f t="shared" si="74"/>
        <v>-8.886107634543278E-3</v>
      </c>
      <c r="CX15" s="14">
        <f t="shared" si="75"/>
        <v>7.8962908892688332E-5</v>
      </c>
      <c r="CY15" s="15">
        <f t="shared" si="219"/>
        <v>60886.403188775497</v>
      </c>
      <c r="CZ15" s="34">
        <f t="shared" si="77"/>
        <v>3.3990020482226116E-2</v>
      </c>
      <c r="DA15" s="13">
        <v>79.61</v>
      </c>
      <c r="DB15" s="38">
        <f t="shared" si="78"/>
        <v>5.3036999621164501E-3</v>
      </c>
      <c r="DC15" s="14">
        <f t="shared" si="220"/>
        <v>1.8027287034392002E-4</v>
      </c>
      <c r="DD15" s="15">
        <f t="shared" si="221"/>
        <v>61209.326403061212</v>
      </c>
      <c r="DE15" s="34">
        <f t="shared" si="81"/>
        <v>3.4286860559788836E-2</v>
      </c>
      <c r="DF15" s="13">
        <v>83.97</v>
      </c>
      <c r="DG15" s="38">
        <f t="shared" si="82"/>
        <v>5.4766989071724649E-2</v>
      </c>
      <c r="DH15" s="14">
        <f t="shared" si="222"/>
        <v>1.877788117581702E-3</v>
      </c>
      <c r="DI15" s="15">
        <f t="shared" si="223"/>
        <v>64561.576913265293</v>
      </c>
      <c r="DJ15" s="34">
        <f t="shared" si="85"/>
        <v>3.507579222681019E-2</v>
      </c>
      <c r="DK15" s="13">
        <v>84.18</v>
      </c>
      <c r="DL15" s="38">
        <f t="shared" si="86"/>
        <v>2.5008931761344283E-3</v>
      </c>
      <c r="DM15" s="14">
        <f t="shared" si="224"/>
        <v>8.7720809427538633E-5</v>
      </c>
      <c r="DN15" s="15">
        <f t="shared" si="225"/>
        <v>64723.038520408161</v>
      </c>
      <c r="DO15" s="34">
        <f t="shared" si="89"/>
        <v>3.553125929292815E-2</v>
      </c>
      <c r="DP15" s="13">
        <v>83.72</v>
      </c>
      <c r="DQ15" s="38">
        <f t="shared" si="90"/>
        <v>-5.4644808743170336E-3</v>
      </c>
      <c r="DR15" s="14">
        <f t="shared" si="226"/>
        <v>-1.9415988684660525E-4</v>
      </c>
      <c r="DS15" s="15">
        <f t="shared" si="227"/>
        <v>64369.360714285707</v>
      </c>
      <c r="DT15" s="34">
        <f t="shared" si="93"/>
        <v>3.5610997265612503E-2</v>
      </c>
      <c r="DU15" s="13">
        <v>87.3</v>
      </c>
      <c r="DV15" s="38">
        <f t="shared" si="94"/>
        <v>4.2761586239847091E-2</v>
      </c>
      <c r="DW15" s="14">
        <f t="shared" si="95"/>
        <v>1.82855325774788E-3</v>
      </c>
      <c r="DX15" s="15">
        <f t="shared" si="228"/>
        <v>67121.896683673462</v>
      </c>
      <c r="DY15" s="34">
        <f t="shared" si="97"/>
        <v>3.6419746391833617E-2</v>
      </c>
      <c r="DZ15" s="13">
        <v>89.12</v>
      </c>
      <c r="EA15" s="38">
        <f t="shared" si="98"/>
        <v>2.0847651775486913E-2</v>
      </c>
      <c r="EB15" s="14">
        <f t="shared" si="229"/>
        <v>7.5926619052849313E-4</v>
      </c>
      <c r="EC15" s="15">
        <f t="shared" si="230"/>
        <v>68521.230612244894</v>
      </c>
      <c r="ED15" s="34">
        <f t="shared" si="101"/>
        <v>3.6961249924011466E-2</v>
      </c>
      <c r="EE15" s="13">
        <v>88.19</v>
      </c>
      <c r="EF15" s="38">
        <f t="shared" si="102"/>
        <v>-1.0435368043088047E-2</v>
      </c>
      <c r="EG15" s="14">
        <f t="shared" si="231"/>
        <v>-3.8570424628961978E-4</v>
      </c>
      <c r="EH15" s="15">
        <f t="shared" si="232"/>
        <v>67806.186352040808</v>
      </c>
      <c r="EI15" s="34">
        <f t="shared" si="105"/>
        <v>3.667997253488213E-2</v>
      </c>
      <c r="EJ15" s="13">
        <v>90.14</v>
      </c>
      <c r="EK15" s="38">
        <f t="shared" si="106"/>
        <v>2.2111350493253235E-2</v>
      </c>
      <c r="EL15" s="14">
        <f t="shared" si="233"/>
        <v>8.1104372880168112E-4</v>
      </c>
      <c r="EM15" s="15">
        <f t="shared" si="234"/>
        <v>69305.472704081621</v>
      </c>
      <c r="EN15" s="34">
        <f t="shared" si="109"/>
        <v>3.6839200346896188E-2</v>
      </c>
      <c r="EO15" s="13">
        <v>89.5</v>
      </c>
      <c r="EP15" s="38">
        <f t="shared" si="110"/>
        <v>-7.1000665631240356E-3</v>
      </c>
      <c r="EQ15" s="14">
        <f t="shared" si="235"/>
        <v>-2.6156077459522502E-4</v>
      </c>
      <c r="ER15" s="15">
        <f t="shared" si="236"/>
        <v>68813.399234693861</v>
      </c>
      <c r="ES15" s="34">
        <f t="shared" si="113"/>
        <v>3.6274320434796274E-2</v>
      </c>
      <c r="ET15" s="13">
        <v>90.19</v>
      </c>
      <c r="EU15" s="38">
        <f t="shared" si="114"/>
        <v>7.709497206703885E-3</v>
      </c>
      <c r="EV15" s="14">
        <f t="shared" si="115"/>
        <v>5.9436347180175008E-5</v>
      </c>
      <c r="EW15" s="15">
        <f t="shared" si="237"/>
        <v>69343.915943877539</v>
      </c>
      <c r="EX15" s="34">
        <f t="shared" si="117"/>
        <v>3.6787876855114969E-2</v>
      </c>
      <c r="EY15" s="13">
        <v>89.47</v>
      </c>
      <c r="EZ15" s="38">
        <f t="shared" si="118"/>
        <v>-7.9831466903204223E-3</v>
      </c>
      <c r="FA15" s="14">
        <f t="shared" si="238"/>
        <v>-2.9368301735982635E-4</v>
      </c>
      <c r="FB15" s="15">
        <f t="shared" si="239"/>
        <v>68790.333290816314</v>
      </c>
      <c r="FC15" s="34">
        <f t="shared" si="121"/>
        <v>3.6315513199940586E-2</v>
      </c>
      <c r="FD15" s="13">
        <v>87.89</v>
      </c>
      <c r="FE15" s="38">
        <f t="shared" si="122"/>
        <v>-1.7659550687381228E-2</v>
      </c>
      <c r="FF15" s="14">
        <f t="shared" si="240"/>
        <v>-6.4131564609261284E-4</v>
      </c>
      <c r="FG15" s="15">
        <f t="shared" si="241"/>
        <v>67575.52691326529</v>
      </c>
      <c r="FH15" s="34">
        <f t="shared" si="125"/>
        <v>3.6321290426569494E-2</v>
      </c>
      <c r="FI15" s="13">
        <v>88.53</v>
      </c>
      <c r="FJ15" s="38">
        <f t="shared" si="126"/>
        <v>7.2818295596768752E-3</v>
      </c>
      <c r="FK15" s="14">
        <f t="shared" si="242"/>
        <v>2.6448544627380243E-4</v>
      </c>
      <c r="FL15" s="15">
        <f t="shared" si="243"/>
        <v>68067.60038265305</v>
      </c>
      <c r="FM15" s="34">
        <f t="shared" si="129"/>
        <v>3.6372452682615693E-2</v>
      </c>
      <c r="FN15" s="13">
        <v>88.71</v>
      </c>
      <c r="FO15" s="38">
        <f t="shared" si="130"/>
        <v>2.0332090816671481E-3</v>
      </c>
      <c r="FP15" s="14">
        <f t="shared" si="244"/>
        <v>7.3952801116802845E-5</v>
      </c>
      <c r="FQ15" s="15">
        <f t="shared" si="245"/>
        <v>68205.996045918349</v>
      </c>
      <c r="FR15" s="34">
        <f t="shared" si="133"/>
        <v>3.6333485609262479E-2</v>
      </c>
      <c r="FS15" s="13">
        <v>93.85</v>
      </c>
      <c r="FT15" s="38">
        <f t="shared" si="246"/>
        <v>5.7941607485063704E-2</v>
      </c>
      <c r="FU15" s="14">
        <f t="shared" si="247"/>
        <v>2.1052205617360974E-3</v>
      </c>
      <c r="FV15" s="15">
        <f t="shared" si="248"/>
        <v>72157.961096938758</v>
      </c>
      <c r="FW15" s="34">
        <f t="shared" si="137"/>
        <v>3.8438706170998573E-2</v>
      </c>
      <c r="FX15" s="13">
        <v>91.44</v>
      </c>
      <c r="FY15" s="38">
        <f t="shared" si="138"/>
        <v>-2.5679275439531132E-2</v>
      </c>
      <c r="FZ15" s="14">
        <f t="shared" si="249"/>
        <v>-9.8707812330427734E-4</v>
      </c>
      <c r="GA15" s="15">
        <f t="shared" si="250"/>
        <v>70304.996938775497</v>
      </c>
      <c r="GB15" s="34">
        <f t="shared" si="141"/>
        <v>3.8054472311106299E-2</v>
      </c>
      <c r="GC15" s="13">
        <v>91.2</v>
      </c>
      <c r="GD15" s="38">
        <f t="shared" si="142"/>
        <v>-2.6246719160104427E-3</v>
      </c>
      <c r="GE15" s="14">
        <f t="shared" si="251"/>
        <v>-9.9880504753557716E-5</v>
      </c>
      <c r="GF15" s="15">
        <f t="shared" si="252"/>
        <v>70120.469387755089</v>
      </c>
      <c r="GG15" s="34">
        <f t="shared" si="145"/>
        <v>3.7674316686222273E-2</v>
      </c>
      <c r="GH15" s="13">
        <v>91.04</v>
      </c>
      <c r="GI15" s="38">
        <f t="shared" si="146"/>
        <v>-1.7543859649122432E-3</v>
      </c>
      <c r="GJ15" s="14">
        <f t="shared" si="253"/>
        <v>-6.6095292431967486E-5</v>
      </c>
      <c r="GK15" s="15">
        <f t="shared" si="254"/>
        <v>69997.45102040816</v>
      </c>
      <c r="GL15" s="34">
        <f t="shared" si="149"/>
        <v>3.7537903403909549E-2</v>
      </c>
      <c r="GM15" s="13">
        <v>88.53</v>
      </c>
      <c r="GN15" s="38">
        <f t="shared" si="150"/>
        <v>-2.7570298769771583E-2</v>
      </c>
      <c r="GO15" s="14">
        <f t="shared" si="151"/>
        <v>7.6012137425446845E-4</v>
      </c>
      <c r="GP15" s="15">
        <f t="shared" si="255"/>
        <v>68067.60038265305</v>
      </c>
      <c r="GQ15" s="34">
        <f t="shared" si="153"/>
        <v>3.7029037178504302E-2</v>
      </c>
      <c r="GR15" s="13">
        <v>86.51</v>
      </c>
      <c r="GS15" s="38">
        <f t="shared" si="154"/>
        <v>-2.2817124138709996E-2</v>
      </c>
      <c r="GT15" s="14">
        <f t="shared" si="256"/>
        <v>-8.4489613803884038E-4</v>
      </c>
      <c r="GU15" s="15">
        <f t="shared" si="257"/>
        <v>66514.49349489795</v>
      </c>
      <c r="GV15" s="34">
        <f t="shared" si="157"/>
        <v>3.6392157416138493E-2</v>
      </c>
      <c r="GW15" s="13">
        <v>83.19</v>
      </c>
      <c r="GX15" s="38">
        <f t="shared" si="158"/>
        <v>-3.8377066235117413E-2</v>
      </c>
      <c r="GY15" s="14">
        <f t="shared" si="258"/>
        <v>-1.3966242355979662E-3</v>
      </c>
      <c r="GZ15" s="15">
        <f t="shared" si="259"/>
        <v>63961.862372448966</v>
      </c>
      <c r="HA15" s="34">
        <f t="shared" si="161"/>
        <v>3.5093183313905707E-2</v>
      </c>
      <c r="HB15" s="13">
        <v>80.599999999999994</v>
      </c>
      <c r="HC15" s="38">
        <f t="shared" si="162"/>
        <v>-3.113354970549349E-2</v>
      </c>
      <c r="HD15" s="14">
        <f t="shared" si="260"/>
        <v>-1.092575367027478E-3</v>
      </c>
      <c r="HE15" s="15">
        <f t="shared" si="261"/>
        <v>61970.502551020392</v>
      </c>
      <c r="HF15" s="34">
        <f t="shared" si="165"/>
        <v>3.3295503562604328E-2</v>
      </c>
      <c r="HG15" s="13">
        <v>82.01</v>
      </c>
      <c r="HH15" s="38">
        <f t="shared" si="166"/>
        <v>1.7493796526054727E-2</v>
      </c>
      <c r="HI15" s="14">
        <f t="shared" si="262"/>
        <v>5.8246476455673041E-4</v>
      </c>
      <c r="HJ15" s="15">
        <f t="shared" si="263"/>
        <v>63054.601913265302</v>
      </c>
      <c r="HK15" s="34">
        <f t="shared" si="169"/>
        <v>3.497947138338818E-2</v>
      </c>
      <c r="HL15" s="13">
        <v>84.25</v>
      </c>
      <c r="HM15" s="38">
        <f t="shared" si="170"/>
        <v>2.7313742226557674E-2</v>
      </c>
      <c r="HN15" s="14">
        <f t="shared" si="171"/>
        <v>7.4604051441883978E-4</v>
      </c>
      <c r="HO15" s="15">
        <f t="shared" si="264"/>
        <v>64776.859056122441</v>
      </c>
      <c r="HP15" s="34">
        <f t="shared" si="173"/>
        <v>3.5181038154197625E-2</v>
      </c>
    </row>
    <row r="16" spans="2:224" s="5" customFormat="1" ht="18" customHeight="1" x14ac:dyDescent="0.45">
      <c r="B16" s="282">
        <v>10</v>
      </c>
      <c r="C16" s="280" t="s">
        <v>12</v>
      </c>
      <c r="D16" s="172" t="s">
        <v>129</v>
      </c>
      <c r="E16" s="11">
        <v>36.4</v>
      </c>
      <c r="F16" s="12">
        <v>32965</v>
      </c>
      <c r="G16" s="170">
        <f t="shared" si="22"/>
        <v>1.7466492310822496E-2</v>
      </c>
      <c r="H16" s="168">
        <v>7.38</v>
      </c>
      <c r="I16" s="13">
        <v>35.64</v>
      </c>
      <c r="J16" s="38">
        <f t="shared" si="23"/>
        <v>-2.0879120879120826E-2</v>
      </c>
      <c r="K16" s="14">
        <f t="shared" si="24"/>
        <v>-3.6468500429189736E-4</v>
      </c>
      <c r="L16" s="15">
        <f t="shared" si="25"/>
        <v>905.63186813186815</v>
      </c>
      <c r="M16" s="16">
        <f t="shared" si="26"/>
        <v>32276.719780219781</v>
      </c>
      <c r="N16" s="17">
        <f t="shared" si="27"/>
        <v>1.8034371063408949E-2</v>
      </c>
      <c r="O16" s="13">
        <v>34.53</v>
      </c>
      <c r="P16" s="38">
        <f t="shared" si="0"/>
        <v>-3.1144781144781128E-2</v>
      </c>
      <c r="Q16" s="14">
        <f t="shared" si="1"/>
        <v>-5.616765398536454E-4</v>
      </c>
      <c r="R16" s="15">
        <f t="shared" si="2"/>
        <v>31271.468406593409</v>
      </c>
      <c r="S16" s="34">
        <f t="shared" si="28"/>
        <v>1.7626795760484957E-2</v>
      </c>
      <c r="T16" s="13">
        <v>34.380000000000003</v>
      </c>
      <c r="U16" s="38">
        <f t="shared" si="3"/>
        <v>-4.3440486533448761E-3</v>
      </c>
      <c r="V16" s="14">
        <f t="shared" si="4"/>
        <v>-7.6571658386119843E-5</v>
      </c>
      <c r="W16" s="15">
        <f t="shared" si="29"/>
        <v>31135.623626373628</v>
      </c>
      <c r="X16" s="34">
        <f t="shared" si="30"/>
        <v>1.7577465129686675E-2</v>
      </c>
      <c r="Y16" s="13">
        <v>34.61</v>
      </c>
      <c r="Z16" s="38">
        <f t="shared" si="5"/>
        <v>6.6899360093076454E-3</v>
      </c>
      <c r="AA16" s="14">
        <f t="shared" si="31"/>
        <v>1.1759211692344037E-4</v>
      </c>
      <c r="AB16" s="15">
        <f t="shared" si="32"/>
        <v>31343.918956043955</v>
      </c>
      <c r="AC16" s="34">
        <f t="shared" si="33"/>
        <v>1.7493140448586526E-2</v>
      </c>
      <c r="AD16" s="13">
        <v>34.15</v>
      </c>
      <c r="AE16" s="38">
        <f t="shared" si="6"/>
        <v>-1.3290956370991067E-2</v>
      </c>
      <c r="AF16" s="14">
        <f t="shared" si="7"/>
        <v>-2.3250056649378264E-4</v>
      </c>
      <c r="AG16" s="15">
        <f t="shared" si="34"/>
        <v>30927.328296703297</v>
      </c>
      <c r="AH16" s="34">
        <f t="shared" si="35"/>
        <v>1.7556512475160581E-2</v>
      </c>
      <c r="AI16" s="13">
        <v>33.770000000000003</v>
      </c>
      <c r="AJ16" s="38">
        <f t="shared" si="8"/>
        <v>-1.1127379209370292E-2</v>
      </c>
      <c r="AK16" s="14">
        <f t="shared" si="9"/>
        <v>-1.9535797190515201E-4</v>
      </c>
      <c r="AL16" s="15">
        <f t="shared" si="36"/>
        <v>30583.18818681319</v>
      </c>
      <c r="AM16" s="34">
        <f t="shared" si="37"/>
        <v>1.772458690022646E-2</v>
      </c>
      <c r="AN16" s="13">
        <v>34.04</v>
      </c>
      <c r="AO16" s="38">
        <f t="shared" si="38"/>
        <v>7.995262066923187E-3</v>
      </c>
      <c r="AP16" s="14">
        <f t="shared" si="10"/>
        <v>1.4171271729526426E-4</v>
      </c>
      <c r="AQ16" s="15">
        <f t="shared" si="39"/>
        <v>30827.708791208792</v>
      </c>
      <c r="AR16" s="34">
        <f t="shared" si="40"/>
        <v>1.7679817673384415E-2</v>
      </c>
      <c r="AS16" s="13">
        <v>33.85</v>
      </c>
      <c r="AT16" s="38">
        <f>(AS16-AN16)/AN16</f>
        <v>-5.5816686251468194E-3</v>
      </c>
      <c r="AU16" s="14">
        <f t="shared" si="12"/>
        <v>-9.8682883605846032E-5</v>
      </c>
      <c r="AV16" s="15">
        <f>AS16*$L16</f>
        <v>30655.63873626374</v>
      </c>
      <c r="AW16" s="34">
        <f t="shared" si="42"/>
        <v>1.7568466021661934E-2</v>
      </c>
      <c r="AX16" s="13">
        <v>33.92</v>
      </c>
      <c r="AY16" s="38">
        <f>(AX16-AS16)/AS16</f>
        <v>2.0679468242245282E-3</v>
      </c>
      <c r="AZ16" s="14">
        <f t="shared" si="14"/>
        <v>3.6330653515992331E-5</v>
      </c>
      <c r="BA16" s="15">
        <f t="shared" si="43"/>
        <v>30719.03296703297</v>
      </c>
      <c r="BB16" s="34">
        <f t="shared" si="44"/>
        <v>1.7565252565209806E-2</v>
      </c>
      <c r="BC16" s="13">
        <v>31.27</v>
      </c>
      <c r="BD16" s="38">
        <f t="shared" si="15"/>
        <v>-7.8125000000000056E-2</v>
      </c>
      <c r="BE16" s="14">
        <f t="shared" si="16"/>
        <v>-1.3722853566570171E-3</v>
      </c>
      <c r="BF16" s="15">
        <f t="shared" si="45"/>
        <v>28319.108516483517</v>
      </c>
      <c r="BG16" s="34">
        <f t="shared" si="46"/>
        <v>1.620113438994655E-2</v>
      </c>
      <c r="BH16" s="13">
        <v>31.27</v>
      </c>
      <c r="BI16" s="38">
        <f t="shared" si="17"/>
        <v>0</v>
      </c>
      <c r="BJ16" s="14">
        <f t="shared" si="18"/>
        <v>0</v>
      </c>
      <c r="BK16" s="15">
        <f t="shared" si="47"/>
        <v>28319.108516483517</v>
      </c>
      <c r="BL16" s="34">
        <f t="shared" si="48"/>
        <v>1.5794396655912157E-2</v>
      </c>
      <c r="BM16" s="13">
        <v>31.04</v>
      </c>
      <c r="BN16" s="38">
        <f t="shared" si="19"/>
        <v>-7.3552926127278678E-3</v>
      </c>
      <c r="BO16" s="14">
        <f t="shared" si="205"/>
        <v>-1.1617240904572443E-4</v>
      </c>
      <c r="BP16" s="15">
        <f t="shared" si="49"/>
        <v>28110.813186813186</v>
      </c>
      <c r="BQ16" s="34">
        <f t="shared" si="50"/>
        <v>1.5728559519600227E-2</v>
      </c>
      <c r="BR16" s="13">
        <v>30.84</v>
      </c>
      <c r="BS16" s="38">
        <f t="shared" si="51"/>
        <v>-6.4432989690721421E-3</v>
      </c>
      <c r="BT16" s="14">
        <f t="shared" si="206"/>
        <v>-1.0134381133762997E-4</v>
      </c>
      <c r="BU16" s="15">
        <f t="shared" si="207"/>
        <v>27929.686813186814</v>
      </c>
      <c r="BV16" s="34">
        <f t="shared" si="54"/>
        <v>1.5600582301856323E-2</v>
      </c>
      <c r="BW16" s="13">
        <v>30.77</v>
      </c>
      <c r="BX16" s="38">
        <f t="shared" si="55"/>
        <v>-2.269779507133602E-3</v>
      </c>
      <c r="BY16" s="14">
        <f t="shared" si="208"/>
        <v>-3.540988200810464E-5</v>
      </c>
      <c r="BZ16" s="15">
        <f t="shared" si="209"/>
        <v>27866.292582417584</v>
      </c>
      <c r="CA16" s="34">
        <f t="shared" si="58"/>
        <v>1.56903935360302E-2</v>
      </c>
      <c r="CB16" s="13">
        <v>30.31</v>
      </c>
      <c r="CC16" s="38">
        <f t="shared" si="59"/>
        <v>-1.4949626259343544E-2</v>
      </c>
      <c r="CD16" s="14">
        <f t="shared" si="210"/>
        <v>-2.3456551922567128E-4</v>
      </c>
      <c r="CE16" s="15">
        <f t="shared" si="211"/>
        <v>27449.701923076922</v>
      </c>
      <c r="CF16" s="34">
        <f t="shared" si="62"/>
        <v>1.5709193516685493E-2</v>
      </c>
      <c r="CG16" s="13">
        <v>37</v>
      </c>
      <c r="CH16" s="38">
        <f t="shared" si="63"/>
        <v>0.22071923457604756</v>
      </c>
      <c r="CI16" s="14">
        <f t="shared" si="212"/>
        <v>3.4673211688098309E-3</v>
      </c>
      <c r="CJ16" s="15">
        <f t="shared" si="213"/>
        <v>33508.379120879123</v>
      </c>
      <c r="CK16" s="34">
        <f t="shared" si="66"/>
        <v>1.8939169200801634E-2</v>
      </c>
      <c r="CL16" s="13">
        <v>30.29</v>
      </c>
      <c r="CM16" s="38">
        <f t="shared" si="67"/>
        <v>-0.18135135135135139</v>
      </c>
      <c r="CN16" s="14">
        <f t="shared" si="214"/>
        <v>-3.4346439280372701E-3</v>
      </c>
      <c r="CO16" s="15">
        <f t="shared" si="215"/>
        <v>27431.589285714286</v>
      </c>
      <c r="CP16" s="34">
        <f t="shared" si="70"/>
        <v>1.5523774662623361E-2</v>
      </c>
      <c r="CQ16" s="13">
        <v>30.4</v>
      </c>
      <c r="CR16" s="38">
        <f t="shared" si="71"/>
        <v>3.6315615714757159E-3</v>
      </c>
      <c r="CS16" s="14">
        <f t="shared" si="216"/>
        <v>5.6375543509031396E-5</v>
      </c>
      <c r="CT16" s="15">
        <f t="shared" si="217"/>
        <v>27531.208791208792</v>
      </c>
      <c r="CU16" s="34">
        <f t="shared" si="218"/>
        <v>1.5348017778549794E-2</v>
      </c>
      <c r="CV16" s="13">
        <v>30.39</v>
      </c>
      <c r="CW16" s="38">
        <f t="shared" si="74"/>
        <v>-3.2894736842098719E-4</v>
      </c>
      <c r="CX16" s="14">
        <f t="shared" si="75"/>
        <v>1.0820637119109268E-7</v>
      </c>
      <c r="CY16" s="15">
        <f t="shared" si="219"/>
        <v>27522.152472527472</v>
      </c>
      <c r="CZ16" s="34">
        <f t="shared" si="77"/>
        <v>1.5364325650108625E-2</v>
      </c>
      <c r="DA16" s="13">
        <v>30.43</v>
      </c>
      <c r="DB16" s="38">
        <f t="shared" si="78"/>
        <v>1.3162224415926012E-3</v>
      </c>
      <c r="DC16" s="14">
        <f t="shared" si="220"/>
        <v>2.0222870220609803E-5</v>
      </c>
      <c r="DD16" s="15">
        <f t="shared" si="221"/>
        <v>27558.377747252747</v>
      </c>
      <c r="DE16" s="34">
        <f t="shared" si="81"/>
        <v>1.5437030769657129E-2</v>
      </c>
      <c r="DF16" s="13">
        <v>31.08</v>
      </c>
      <c r="DG16" s="38">
        <f t="shared" si="82"/>
        <v>2.136049950706535E-2</v>
      </c>
      <c r="DH16" s="14">
        <f t="shared" si="222"/>
        <v>3.2974268814581372E-4</v>
      </c>
      <c r="DI16" s="15">
        <f t="shared" si="223"/>
        <v>28147.038461538461</v>
      </c>
      <c r="DJ16" s="34">
        <f t="shared" si="85"/>
        <v>1.5292062556082092E-2</v>
      </c>
      <c r="DK16" s="13">
        <v>30.76</v>
      </c>
      <c r="DL16" s="38">
        <f t="shared" si="86"/>
        <v>-1.0296010296010192E-2</v>
      </c>
      <c r="DM16" s="14">
        <f t="shared" si="224"/>
        <v>-1.5744723352465316E-4</v>
      </c>
      <c r="DN16" s="15">
        <f t="shared" si="225"/>
        <v>27857.236263736264</v>
      </c>
      <c r="DO16" s="34">
        <f t="shared" si="89"/>
        <v>1.5292895814201837E-2</v>
      </c>
      <c r="DP16" s="13">
        <v>30.17</v>
      </c>
      <c r="DQ16" s="38">
        <f t="shared" si="90"/>
        <v>-1.9180754226267874E-2</v>
      </c>
      <c r="DR16" s="14">
        <f t="shared" si="226"/>
        <v>-2.9332927602012619E-4</v>
      </c>
      <c r="DS16" s="15">
        <f t="shared" si="227"/>
        <v>27322.913461538465</v>
      </c>
      <c r="DT16" s="34">
        <f t="shared" si="93"/>
        <v>1.511582817928271E-2</v>
      </c>
      <c r="DU16" s="13">
        <v>31.04</v>
      </c>
      <c r="DV16" s="38">
        <f t="shared" si="94"/>
        <v>2.8836592641696964E-2</v>
      </c>
      <c r="DW16" s="14">
        <f t="shared" si="95"/>
        <v>8.3154907518317154E-4</v>
      </c>
      <c r="DX16" s="15">
        <f t="shared" si="228"/>
        <v>28110.813186813186</v>
      </c>
      <c r="DY16" s="34">
        <f t="shared" si="97"/>
        <v>1.5252678152954694E-2</v>
      </c>
      <c r="DZ16" s="13">
        <v>31.87</v>
      </c>
      <c r="EA16" s="38">
        <f t="shared" si="98"/>
        <v>2.6739690721649546E-2</v>
      </c>
      <c r="EB16" s="14">
        <f t="shared" si="229"/>
        <v>4.0785189648686937E-4</v>
      </c>
      <c r="EC16" s="15">
        <f t="shared" si="230"/>
        <v>28862.487637362639</v>
      </c>
      <c r="ED16" s="34">
        <f t="shared" si="101"/>
        <v>1.5568804142326852E-2</v>
      </c>
      <c r="EE16" s="13">
        <v>32</v>
      </c>
      <c r="EF16" s="38">
        <f t="shared" si="102"/>
        <v>4.0790712268590837E-3</v>
      </c>
      <c r="EG16" s="14">
        <f t="shared" si="231"/>
        <v>6.3506261013569982E-5</v>
      </c>
      <c r="EH16" s="15">
        <f t="shared" si="232"/>
        <v>28980.219780219781</v>
      </c>
      <c r="EI16" s="34">
        <f t="shared" si="105"/>
        <v>1.5676942219908757E-2</v>
      </c>
      <c r="EJ16" s="13">
        <v>33.869999999999997</v>
      </c>
      <c r="EK16" s="38">
        <f t="shared" si="106"/>
        <v>5.843749999999992E-2</v>
      </c>
      <c r="EL16" s="14">
        <f t="shared" si="233"/>
        <v>9.1612131097591678E-4</v>
      </c>
      <c r="EM16" s="15">
        <f t="shared" si="234"/>
        <v>30673.751373626372</v>
      </c>
      <c r="EN16" s="34">
        <f t="shared" si="109"/>
        <v>1.6304577808288364E-2</v>
      </c>
      <c r="EO16" s="13">
        <v>33.1</v>
      </c>
      <c r="EP16" s="38">
        <f t="shared" si="110"/>
        <v>-2.2733982875701095E-2</v>
      </c>
      <c r="EQ16" s="14">
        <f t="shared" si="235"/>
        <v>-3.7066799268916376E-4</v>
      </c>
      <c r="ER16" s="15">
        <f t="shared" si="236"/>
        <v>29976.414835164836</v>
      </c>
      <c r="ES16" s="34">
        <f t="shared" si="113"/>
        <v>1.5801778277346388E-2</v>
      </c>
      <c r="ET16" s="13">
        <v>32.840000000000003</v>
      </c>
      <c r="EU16" s="38">
        <f t="shared" si="114"/>
        <v>-7.8549848942597589E-3</v>
      </c>
      <c r="EV16" s="14">
        <f t="shared" si="115"/>
        <v>6.1700787689048992E-5</v>
      </c>
      <c r="EW16" s="15">
        <f t="shared" si="237"/>
        <v>29740.950549450554</v>
      </c>
      <c r="EX16" s="34">
        <f t="shared" si="117"/>
        <v>1.5777972897474516E-2</v>
      </c>
      <c r="EY16" s="13">
        <v>33.03</v>
      </c>
      <c r="EZ16" s="38">
        <f t="shared" si="118"/>
        <v>5.7856272838001741E-3</v>
      </c>
      <c r="FA16" s="14">
        <f t="shared" si="238"/>
        <v>9.1285470478688253E-5</v>
      </c>
      <c r="FB16" s="15">
        <f t="shared" si="239"/>
        <v>29913.020604395606</v>
      </c>
      <c r="FC16" s="34">
        <f t="shared" si="121"/>
        <v>1.5791560276595548E-2</v>
      </c>
      <c r="FD16" s="13">
        <v>32.5</v>
      </c>
      <c r="FE16" s="38">
        <f t="shared" si="122"/>
        <v>-1.6046018770814446E-2</v>
      </c>
      <c r="FF16" s="14">
        <f t="shared" si="240"/>
        <v>-2.5339167261869994E-4</v>
      </c>
      <c r="FG16" s="15">
        <f t="shared" si="241"/>
        <v>29433.035714285714</v>
      </c>
      <c r="FH16" s="34">
        <f t="shared" si="125"/>
        <v>1.5820014835937691E-2</v>
      </c>
      <c r="FI16" s="13">
        <v>32.51</v>
      </c>
      <c r="FJ16" s="38">
        <f t="shared" si="126"/>
        <v>3.076923076922465E-4</v>
      </c>
      <c r="FK16" s="14">
        <f t="shared" si="242"/>
        <v>4.8676968725952444E-6</v>
      </c>
      <c r="FL16" s="15">
        <f t="shared" si="243"/>
        <v>29442.09203296703</v>
      </c>
      <c r="FM16" s="34">
        <f t="shared" si="129"/>
        <v>1.5732611305910273E-2</v>
      </c>
      <c r="FN16" s="13">
        <v>32.200000000000003</v>
      </c>
      <c r="FO16" s="38">
        <f t="shared" si="130"/>
        <v>-9.5355275299906245E-3</v>
      </c>
      <c r="FP16" s="14">
        <f t="shared" si="244"/>
        <v>-1.5001874822614917E-4</v>
      </c>
      <c r="FQ16" s="15">
        <f t="shared" si="245"/>
        <v>29161.346153846156</v>
      </c>
      <c r="FR16" s="34">
        <f t="shared" si="133"/>
        <v>1.553431387636625E-2</v>
      </c>
      <c r="FS16" s="13">
        <v>33.619999999999997</v>
      </c>
      <c r="FT16" s="38">
        <f t="shared" si="246"/>
        <v>4.4099378881987408E-2</v>
      </c>
      <c r="FU16" s="14">
        <f t="shared" si="247"/>
        <v>6.8505359330558969E-4</v>
      </c>
      <c r="FV16" s="15">
        <f t="shared" si="248"/>
        <v>30447.343406593405</v>
      </c>
      <c r="FW16" s="34">
        <f t="shared" si="137"/>
        <v>1.6219367469671842E-2</v>
      </c>
      <c r="FX16" s="13">
        <v>32.53</v>
      </c>
      <c r="FY16" s="38">
        <f t="shared" si="138"/>
        <v>-3.2421177870315183E-2</v>
      </c>
      <c r="FZ16" s="14">
        <f t="shared" si="249"/>
        <v>-5.2585099767823464E-4</v>
      </c>
      <c r="GA16" s="15">
        <f t="shared" si="250"/>
        <v>29460.204670329673</v>
      </c>
      <c r="GB16" s="34">
        <f t="shared" si="141"/>
        <v>1.5946128891561988E-2</v>
      </c>
      <c r="GC16" s="13">
        <v>32.68</v>
      </c>
      <c r="GD16" s="38">
        <f t="shared" si="142"/>
        <v>4.6111281893636202E-3</v>
      </c>
      <c r="GE16" s="14">
        <f t="shared" si="251"/>
        <v>7.3529644443107135E-5</v>
      </c>
      <c r="GF16" s="15">
        <f t="shared" si="252"/>
        <v>29596.04945054945</v>
      </c>
      <c r="GG16" s="34">
        <f t="shared" si="145"/>
        <v>1.5901361605200625E-2</v>
      </c>
      <c r="GH16" s="13">
        <v>32.549999999999997</v>
      </c>
      <c r="GI16" s="38">
        <f t="shared" si="146"/>
        <v>-3.9779681762546681E-3</v>
      </c>
      <c r="GJ16" s="14">
        <f t="shared" si="253"/>
        <v>-6.3255110424605932E-5</v>
      </c>
      <c r="GK16" s="15">
        <f t="shared" si="254"/>
        <v>29478.317307692305</v>
      </c>
      <c r="GL16" s="34">
        <f t="shared" si="149"/>
        <v>1.5808493187606593E-2</v>
      </c>
      <c r="GM16" s="13">
        <v>32.799999999999997</v>
      </c>
      <c r="GN16" s="38">
        <f t="shared" si="150"/>
        <v>7.6804915514592943E-3</v>
      </c>
      <c r="GO16" s="14">
        <f t="shared" si="151"/>
        <v>5.8989950472037596E-5</v>
      </c>
      <c r="GP16" s="15">
        <f t="shared" si="255"/>
        <v>29704.725274725271</v>
      </c>
      <c r="GQ16" s="34">
        <f t="shared" si="153"/>
        <v>1.6159485135241763E-2</v>
      </c>
      <c r="GR16" s="13">
        <v>32.61</v>
      </c>
      <c r="GS16" s="38">
        <f t="shared" si="154"/>
        <v>-5.7926829268291997E-3</v>
      </c>
      <c r="GT16" s="14">
        <f t="shared" si="256"/>
        <v>-9.36067736492652E-5</v>
      </c>
      <c r="GU16" s="15">
        <f t="shared" si="257"/>
        <v>29532.655219780219</v>
      </c>
      <c r="GV16" s="34">
        <f t="shared" si="157"/>
        <v>1.6158238320753748E-2</v>
      </c>
      <c r="GW16" s="13">
        <v>32.130000000000003</v>
      </c>
      <c r="GX16" s="38">
        <f t="shared" si="158"/>
        <v>-1.4719411223550962E-2</v>
      </c>
      <c r="GY16" s="14">
        <f t="shared" si="258"/>
        <v>-2.3783975449131399E-4</v>
      </c>
      <c r="GZ16" s="15">
        <f t="shared" si="259"/>
        <v>29097.951923076926</v>
      </c>
      <c r="HA16" s="34">
        <f t="shared" si="161"/>
        <v>1.5964822208422765E-2</v>
      </c>
      <c r="HB16" s="13">
        <v>31.25</v>
      </c>
      <c r="HC16" s="38">
        <f t="shared" si="162"/>
        <v>-2.7388733271086291E-2</v>
      </c>
      <c r="HD16" s="14">
        <f t="shared" si="260"/>
        <v>-4.3725625718680589E-4</v>
      </c>
      <c r="HE16" s="15">
        <f t="shared" si="261"/>
        <v>28300.995879120881</v>
      </c>
      <c r="HF16" s="34">
        <f t="shared" si="165"/>
        <v>1.5205555390529975E-2</v>
      </c>
      <c r="HG16" s="13">
        <v>31.65</v>
      </c>
      <c r="HH16" s="38">
        <f t="shared" si="166"/>
        <v>1.2799999999999954E-2</v>
      </c>
      <c r="HI16" s="14">
        <f t="shared" si="262"/>
        <v>1.94631108998783E-4</v>
      </c>
      <c r="HJ16" s="15">
        <f t="shared" si="263"/>
        <v>28663.248626373625</v>
      </c>
      <c r="HK16" s="34">
        <f t="shared" si="169"/>
        <v>1.5900905796857413E-2</v>
      </c>
      <c r="HL16" s="13">
        <v>32.6</v>
      </c>
      <c r="HM16" s="38">
        <f t="shared" si="170"/>
        <v>3.0015797788309727E-2</v>
      </c>
      <c r="HN16" s="14">
        <f t="shared" si="171"/>
        <v>9.0094811686869912E-4</v>
      </c>
      <c r="HO16" s="15">
        <f t="shared" si="264"/>
        <v>29523.598901098903</v>
      </c>
      <c r="HP16" s="34">
        <f t="shared" si="173"/>
        <v>1.6034597455379659E-2</v>
      </c>
    </row>
    <row r="17" spans="2:224" s="5" customFormat="1" ht="18" customHeight="1" x14ac:dyDescent="0.45">
      <c r="B17" s="282">
        <v>11</v>
      </c>
      <c r="C17" s="280" t="s">
        <v>13</v>
      </c>
      <c r="D17" s="172" t="s">
        <v>130</v>
      </c>
      <c r="E17" s="11">
        <v>26.8</v>
      </c>
      <c r="F17" s="12">
        <v>33593</v>
      </c>
      <c r="G17" s="170">
        <f t="shared" si="22"/>
        <v>1.779923786432459E-2</v>
      </c>
      <c r="H17" s="168">
        <v>12.1</v>
      </c>
      <c r="I17" s="13">
        <v>26.36</v>
      </c>
      <c r="J17" s="38">
        <f t="shared" si="23"/>
        <v>-1.6417910447761242E-2</v>
      </c>
      <c r="K17" s="14">
        <f t="shared" si="24"/>
        <v>-2.9222629329488217E-4</v>
      </c>
      <c r="L17" s="15">
        <f t="shared" si="25"/>
        <v>1253.4701492537313</v>
      </c>
      <c r="M17" s="16">
        <f t="shared" si="26"/>
        <v>33041.473134328357</v>
      </c>
      <c r="N17" s="17">
        <f t="shared" si="27"/>
        <v>1.846167116868274E-2</v>
      </c>
      <c r="O17" s="13">
        <v>25.48</v>
      </c>
      <c r="P17" s="38">
        <f t="shared" si="0"/>
        <v>-3.3383915022761723E-2</v>
      </c>
      <c r="Q17" s="14">
        <f t="shared" si="1"/>
        <v>-6.1632286147347468E-4</v>
      </c>
      <c r="R17" s="15">
        <f t="shared" si="2"/>
        <v>31938.419402985073</v>
      </c>
      <c r="S17" s="34">
        <f t="shared" si="28"/>
        <v>1.8002736181407724E-2</v>
      </c>
      <c r="T17" s="13">
        <v>25.36</v>
      </c>
      <c r="U17" s="38">
        <f t="shared" si="3"/>
        <v>-4.7095761381476054E-3</v>
      </c>
      <c r="V17" s="14">
        <f t="shared" si="4"/>
        <v>-8.4785256741324363E-5</v>
      </c>
      <c r="W17" s="15">
        <f t="shared" si="29"/>
        <v>31788.002985074625</v>
      </c>
      <c r="X17" s="34">
        <f t="shared" si="30"/>
        <v>1.7945762728812997E-2</v>
      </c>
      <c r="Y17" s="13">
        <v>25.45</v>
      </c>
      <c r="Z17" s="38">
        <f t="shared" si="5"/>
        <v>3.5488958990536222E-3</v>
      </c>
      <c r="AA17" s="14">
        <f t="shared" si="31"/>
        <v>6.3687643753673783E-5</v>
      </c>
      <c r="AB17" s="15">
        <f t="shared" si="32"/>
        <v>31900.815298507459</v>
      </c>
      <c r="AC17" s="34">
        <f t="shared" si="33"/>
        <v>1.7803946061237579E-2</v>
      </c>
      <c r="AD17" s="13">
        <v>25.19</v>
      </c>
      <c r="AE17" s="38">
        <f t="shared" si="6"/>
        <v>-1.0216110019646287E-2</v>
      </c>
      <c r="AF17" s="14">
        <f t="shared" si="7"/>
        <v>-1.8188707174545126E-4</v>
      </c>
      <c r="AG17" s="15">
        <f t="shared" si="34"/>
        <v>31574.913059701492</v>
      </c>
      <c r="AH17" s="34">
        <f t="shared" si="35"/>
        <v>1.7924126834255209E-2</v>
      </c>
      <c r="AI17" s="13">
        <v>24.68</v>
      </c>
      <c r="AJ17" s="38">
        <f t="shared" si="8"/>
        <v>-2.0246129416435155E-2</v>
      </c>
      <c r="AK17" s="14">
        <f t="shared" si="9"/>
        <v>-3.6289419156292909E-4</v>
      </c>
      <c r="AL17" s="15">
        <f t="shared" si="36"/>
        <v>30935.643283582089</v>
      </c>
      <c r="AM17" s="34">
        <f t="shared" si="37"/>
        <v>1.7928853406156072E-2</v>
      </c>
      <c r="AN17" s="13">
        <v>27.77</v>
      </c>
      <c r="AO17" s="38">
        <f t="shared" si="38"/>
        <v>0.12520259319286872</v>
      </c>
      <c r="AP17" s="14">
        <f t="shared" si="10"/>
        <v>2.2447389394255374E-3</v>
      </c>
      <c r="AQ17" s="15">
        <f t="shared" si="39"/>
        <v>34808.866044776114</v>
      </c>
      <c r="AR17" s="34">
        <f t="shared" si="40"/>
        <v>1.9963027718245558E-2</v>
      </c>
      <c r="AS17" s="13">
        <v>24.53</v>
      </c>
      <c r="AT17" s="38">
        <f>(AS17-AN17)/AN17</f>
        <v>-0.11667266834713715</v>
      </c>
      <c r="AU17" s="14">
        <f t="shared" si="12"/>
        <v>-2.3291397121755699E-3</v>
      </c>
      <c r="AV17" s="15">
        <f>AS17*$L17</f>
        <v>30747.62276119403</v>
      </c>
      <c r="AW17" s="34">
        <f t="shared" si="42"/>
        <v>1.7621181224578644E-2</v>
      </c>
      <c r="AX17" s="13">
        <v>25.82</v>
      </c>
      <c r="AY17" s="38">
        <f>(AX17-AS17)/AS17</f>
        <v>5.2588666938442684E-2</v>
      </c>
      <c r="AZ17" s="14">
        <f t="shared" si="14"/>
        <v>9.2667443048130593E-4</v>
      </c>
      <c r="BA17" s="15">
        <f t="shared" si="43"/>
        <v>32364.599253731343</v>
      </c>
      <c r="BB17" s="34">
        <f t="shared" si="44"/>
        <v>1.8506193234457805E-2</v>
      </c>
      <c r="BC17" s="13">
        <v>24.74</v>
      </c>
      <c r="BD17" s="38">
        <f t="shared" si="15"/>
        <v>-4.1828040278853673E-2</v>
      </c>
      <c r="BE17" s="14">
        <f t="shared" si="16"/>
        <v>-7.7407779601915041E-4</v>
      </c>
      <c r="BF17" s="15">
        <f t="shared" si="45"/>
        <v>31010.851492537309</v>
      </c>
      <c r="BG17" s="34">
        <f t="shared" si="46"/>
        <v>1.774105891380149E-2</v>
      </c>
      <c r="BH17" s="13">
        <v>25.54</v>
      </c>
      <c r="BI17" s="38">
        <f t="shared" si="17"/>
        <v>3.2336297493936975E-2</v>
      </c>
      <c r="BJ17" s="14">
        <f t="shared" si="18"/>
        <v>5.7368015889414732E-4</v>
      </c>
      <c r="BK17" s="15">
        <f t="shared" si="47"/>
        <v>32013.627611940297</v>
      </c>
      <c r="BL17" s="34">
        <f t="shared" si="48"/>
        <v>1.7854938216128331E-2</v>
      </c>
      <c r="BM17" s="13">
        <v>25.43</v>
      </c>
      <c r="BN17" s="38">
        <f t="shared" si="19"/>
        <v>-4.3069694596710823E-3</v>
      </c>
      <c r="BO17" s="14">
        <f t="shared" si="205"/>
        <v>-7.6900673601178795E-5</v>
      </c>
      <c r="BP17" s="15">
        <f t="shared" si="49"/>
        <v>31875.745895522385</v>
      </c>
      <c r="BQ17" s="34">
        <f t="shared" si="50"/>
        <v>1.783511431055167E-2</v>
      </c>
      <c r="BR17" s="210">
        <v>25.54</v>
      </c>
      <c r="BS17" s="38">
        <f t="shared" si="51"/>
        <v>4.3255996854109097E-3</v>
      </c>
      <c r="BT17" s="14">
        <f t="shared" si="206"/>
        <v>7.7147564850989914E-5</v>
      </c>
      <c r="BU17" s="15">
        <f t="shared" si="207"/>
        <v>32013.627611940297</v>
      </c>
      <c r="BV17" s="34">
        <f t="shared" si="54"/>
        <v>1.7881734073195966E-2</v>
      </c>
      <c r="BW17" s="211">
        <v>25.2</v>
      </c>
      <c r="BX17" s="38">
        <f t="shared" si="55"/>
        <v>-1.3312451057165225E-2</v>
      </c>
      <c r="BY17" s="14">
        <f t="shared" si="208"/>
        <v>-2.3804970966666508E-4</v>
      </c>
      <c r="BZ17" s="15">
        <f t="shared" si="209"/>
        <v>31587.447761194027</v>
      </c>
      <c r="CA17" s="34">
        <f t="shared" si="58"/>
        <v>1.7785627015365679E-2</v>
      </c>
      <c r="CB17" s="211">
        <v>24.89</v>
      </c>
      <c r="CC17" s="38">
        <f t="shared" si="59"/>
        <v>-1.2301587301587251E-2</v>
      </c>
      <c r="CD17" s="14">
        <f t="shared" si="210"/>
        <v>-2.187914434429896E-4</v>
      </c>
      <c r="CE17" s="15">
        <f t="shared" si="211"/>
        <v>31198.872014925371</v>
      </c>
      <c r="CF17" s="34">
        <f t="shared" si="62"/>
        <v>1.7854806560676426E-2</v>
      </c>
      <c r="CG17" s="211">
        <v>24.83</v>
      </c>
      <c r="CH17" s="38">
        <f t="shared" si="63"/>
        <v>-2.4106066693452099E-3</v>
      </c>
      <c r="CI17" s="14">
        <f t="shared" si="212"/>
        <v>-4.3040915775035205E-5</v>
      </c>
      <c r="CJ17" s="15">
        <f t="shared" si="213"/>
        <v>31123.663805970147</v>
      </c>
      <c r="CK17" s="34">
        <f t="shared" si="66"/>
        <v>1.7591311499840445E-2</v>
      </c>
      <c r="CL17" s="211">
        <v>25.1</v>
      </c>
      <c r="CM17" s="38">
        <f t="shared" si="67"/>
        <v>1.0873942811115712E-2</v>
      </c>
      <c r="CN17" s="14">
        <f t="shared" si="214"/>
        <v>1.9128691522178718E-4</v>
      </c>
      <c r="CO17" s="15">
        <f t="shared" si="215"/>
        <v>31462.100746268658</v>
      </c>
      <c r="CP17" s="34">
        <f t="shared" si="70"/>
        <v>1.7804676109385374E-2</v>
      </c>
      <c r="CQ17" s="211">
        <v>25.07</v>
      </c>
      <c r="CR17" s="38">
        <f t="shared" si="71"/>
        <v>-1.1952191235060214E-3</v>
      </c>
      <c r="CS17" s="14">
        <f t="shared" si="216"/>
        <v>-2.1280489373768186E-5</v>
      </c>
      <c r="CT17" s="15">
        <f t="shared" si="217"/>
        <v>31424.496641791044</v>
      </c>
      <c r="CU17" s="34">
        <f t="shared" si="218"/>
        <v>1.7518436505926157E-2</v>
      </c>
      <c r="CV17" s="211">
        <v>25.26</v>
      </c>
      <c r="CW17" s="38">
        <f t="shared" si="74"/>
        <v>7.5787794176306851E-3</v>
      </c>
      <c r="CX17" s="14">
        <f t="shared" si="75"/>
        <v>5.743789746110251E-5</v>
      </c>
      <c r="CY17" s="15">
        <f t="shared" si="219"/>
        <v>31662.655970149255</v>
      </c>
      <c r="CZ17" s="34">
        <f t="shared" si="77"/>
        <v>1.7675774369694645E-2</v>
      </c>
      <c r="DA17" s="211">
        <v>25.03</v>
      </c>
      <c r="DB17" s="38">
        <f t="shared" si="78"/>
        <v>-9.105304829770405E-3</v>
      </c>
      <c r="DC17" s="14">
        <f t="shared" si="220"/>
        <v>-1.6094331373831257E-4</v>
      </c>
      <c r="DD17" s="15">
        <f t="shared" si="221"/>
        <v>31374.357835820894</v>
      </c>
      <c r="DE17" s="34">
        <f t="shared" si="81"/>
        <v>1.75745804681149E-2</v>
      </c>
      <c r="DF17" s="211">
        <v>26.04</v>
      </c>
      <c r="DG17" s="38">
        <f t="shared" si="82"/>
        <v>4.0351578106272393E-2</v>
      </c>
      <c r="DH17" s="14">
        <f t="shared" si="222"/>
        <v>7.0916205644410769E-4</v>
      </c>
      <c r="DI17" s="15">
        <f t="shared" si="223"/>
        <v>32640.362686567161</v>
      </c>
      <c r="DJ17" s="34">
        <f t="shared" si="85"/>
        <v>1.7733249938114835E-2</v>
      </c>
      <c r="DK17" s="211">
        <v>25.75</v>
      </c>
      <c r="DL17" s="38">
        <f t="shared" si="86"/>
        <v>-1.1136712749615942E-2</v>
      </c>
      <c r="DM17" s="14">
        <f t="shared" si="224"/>
        <v>-1.9749011067792961E-4</v>
      </c>
      <c r="DN17" s="15">
        <f t="shared" si="225"/>
        <v>32276.85634328358</v>
      </c>
      <c r="DO17" s="34">
        <f t="shared" si="89"/>
        <v>1.7719151914231998E-2</v>
      </c>
      <c r="DP17" s="211">
        <v>25.12</v>
      </c>
      <c r="DQ17" s="38">
        <f t="shared" si="90"/>
        <v>-2.4466019417475688E-2</v>
      </c>
      <c r="DR17" s="14">
        <f t="shared" si="226"/>
        <v>-4.3351711479480156E-4</v>
      </c>
      <c r="DS17" s="15">
        <f t="shared" si="227"/>
        <v>31487.170149253732</v>
      </c>
      <c r="DT17" s="34">
        <f t="shared" si="93"/>
        <v>1.7419615755762799E-2</v>
      </c>
      <c r="DU17" s="211">
        <v>25.99</v>
      </c>
      <c r="DV17" s="38">
        <f t="shared" si="94"/>
        <v>3.4633757961783335E-2</v>
      </c>
      <c r="DW17" s="14">
        <f t="shared" si="95"/>
        <v>1.1994971905553906E-3</v>
      </c>
      <c r="DX17" s="15">
        <f t="shared" si="228"/>
        <v>32577.689179104473</v>
      </c>
      <c r="DY17" s="34">
        <f t="shared" si="97"/>
        <v>1.7676365486608205E-2</v>
      </c>
      <c r="DZ17" s="211">
        <v>26.18</v>
      </c>
      <c r="EA17" s="38">
        <f t="shared" si="98"/>
        <v>7.3105040400154404E-3</v>
      </c>
      <c r="EB17" s="14">
        <f t="shared" si="229"/>
        <v>1.2922314130263879E-4</v>
      </c>
      <c r="EC17" s="15">
        <f t="shared" si="230"/>
        <v>32815.848507462688</v>
      </c>
      <c r="ED17" s="34">
        <f t="shared" si="101"/>
        <v>1.7701298813744257E-2</v>
      </c>
      <c r="EE17" s="211">
        <v>26.33</v>
      </c>
      <c r="EF17" s="38">
        <f t="shared" si="102"/>
        <v>5.7295645530939104E-3</v>
      </c>
      <c r="EG17" s="14">
        <f t="shared" si="231"/>
        <v>1.0142073422695238E-4</v>
      </c>
      <c r="EH17" s="15">
        <f t="shared" si="232"/>
        <v>33003.869029850743</v>
      </c>
      <c r="EI17" s="34">
        <f t="shared" si="105"/>
        <v>1.7853548100679115E-2</v>
      </c>
      <c r="EJ17" s="211">
        <v>28.2</v>
      </c>
      <c r="EK17" s="38">
        <f t="shared" si="106"/>
        <v>7.1021648309912686E-2</v>
      </c>
      <c r="EL17" s="14">
        <f t="shared" si="233"/>
        <v>1.2679884142905416E-3</v>
      </c>
      <c r="EM17" s="15">
        <f t="shared" si="234"/>
        <v>35347.858208955222</v>
      </c>
      <c r="EN17" s="34">
        <f t="shared" si="109"/>
        <v>1.878909095611277E-2</v>
      </c>
      <c r="EO17" s="211">
        <v>27.99</v>
      </c>
      <c r="EP17" s="38">
        <f t="shared" si="110"/>
        <v>-7.4468085106383286E-3</v>
      </c>
      <c r="EQ17" s="14">
        <f t="shared" si="235"/>
        <v>-1.3991876243913822E-4</v>
      </c>
      <c r="ER17" s="15">
        <f t="shared" si="236"/>
        <v>35084.629477611939</v>
      </c>
      <c r="ES17" s="34">
        <f t="shared" si="113"/>
        <v>1.8494524411829201E-2</v>
      </c>
      <c r="ET17" s="211">
        <v>27.58</v>
      </c>
      <c r="EU17" s="38">
        <f t="shared" si="114"/>
        <v>-1.4648088603072531E-2</v>
      </c>
      <c r="EV17" s="14">
        <f t="shared" si="115"/>
        <v>2.1456649972346337E-4</v>
      </c>
      <c r="EW17" s="15">
        <f t="shared" si="237"/>
        <v>34570.70671641791</v>
      </c>
      <c r="EX17" s="34">
        <f t="shared" si="117"/>
        <v>1.8340223279388727E-2</v>
      </c>
      <c r="EY17" s="211">
        <v>27.57</v>
      </c>
      <c r="EZ17" s="38">
        <f t="shared" si="118"/>
        <v>-3.6258158085562044E-4</v>
      </c>
      <c r="FA17" s="14">
        <f t="shared" si="238"/>
        <v>-6.6498271498858156E-6</v>
      </c>
      <c r="FB17" s="15">
        <f t="shared" si="239"/>
        <v>34558.172014925374</v>
      </c>
      <c r="FC17" s="34">
        <f t="shared" si="121"/>
        <v>1.8243809732222727E-2</v>
      </c>
      <c r="FD17" s="211">
        <v>26.85</v>
      </c>
      <c r="FE17" s="38">
        <f t="shared" si="122"/>
        <v>-2.6115342763873735E-2</v>
      </c>
      <c r="FF17" s="14">
        <f t="shared" si="240"/>
        <v>-4.7644334447589199E-4</v>
      </c>
      <c r="FG17" s="15">
        <f t="shared" si="241"/>
        <v>33655.673507462685</v>
      </c>
      <c r="FH17" s="34">
        <f t="shared" si="125"/>
        <v>1.8089647951030456E-2</v>
      </c>
      <c r="FI17" s="211">
        <v>27.11</v>
      </c>
      <c r="FJ17" s="38">
        <f t="shared" si="126"/>
        <v>9.6834264432029051E-3</v>
      </c>
      <c r="FK17" s="14">
        <f t="shared" si="242"/>
        <v>1.7516977531723956E-4</v>
      </c>
      <c r="FL17" s="15">
        <f t="shared" si="243"/>
        <v>33981.575746268652</v>
      </c>
      <c r="FM17" s="34">
        <f t="shared" si="129"/>
        <v>1.8158319802131135E-2</v>
      </c>
      <c r="FN17" s="211">
        <v>27.16</v>
      </c>
      <c r="FO17" s="38">
        <f t="shared" si="130"/>
        <v>1.8443378827001369E-3</v>
      </c>
      <c r="FP17" s="14">
        <f t="shared" si="244"/>
        <v>3.3490077097254504E-5</v>
      </c>
      <c r="FQ17" s="15">
        <f t="shared" si="245"/>
        <v>34044.249253731345</v>
      </c>
      <c r="FR17" s="34">
        <f t="shared" si="133"/>
        <v>1.8135447204756645E-2</v>
      </c>
      <c r="FS17" s="211">
        <v>26.79</v>
      </c>
      <c r="FT17" s="38">
        <f t="shared" si="246"/>
        <v>-1.3622974963181185E-2</v>
      </c>
      <c r="FU17" s="14">
        <f t="shared" si="247"/>
        <v>-2.4705874321649397E-4</v>
      </c>
      <c r="FV17" s="15">
        <f t="shared" si="248"/>
        <v>33580.465298507457</v>
      </c>
      <c r="FW17" s="34">
        <f t="shared" si="137"/>
        <v>1.7888388461540148E-2</v>
      </c>
      <c r="FX17" s="211">
        <v>26.98</v>
      </c>
      <c r="FY17" s="38">
        <f t="shared" si="138"/>
        <v>7.0921985815603321E-3</v>
      </c>
      <c r="FZ17" s="14">
        <f t="shared" si="249"/>
        <v>1.2686800327333525E-4</v>
      </c>
      <c r="GA17" s="15">
        <f t="shared" si="250"/>
        <v>33818.624626865669</v>
      </c>
      <c r="GB17" s="34">
        <f t="shared" si="141"/>
        <v>1.8305241028365116E-2</v>
      </c>
      <c r="GC17" s="211">
        <v>26.87</v>
      </c>
      <c r="GD17" s="38">
        <f t="shared" si="142"/>
        <v>-4.0770941438102084E-3</v>
      </c>
      <c r="GE17" s="14">
        <f t="shared" si="251"/>
        <v>-7.4632190997781772E-5</v>
      </c>
      <c r="GF17" s="15">
        <f t="shared" si="252"/>
        <v>33680.742910447763</v>
      </c>
      <c r="GG17" s="34">
        <f t="shared" si="145"/>
        <v>1.8095985176862325E-2</v>
      </c>
      <c r="GH17" s="211">
        <v>27.14</v>
      </c>
      <c r="GI17" s="38">
        <f t="shared" si="146"/>
        <v>1.0048381094157037E-2</v>
      </c>
      <c r="GJ17" s="14">
        <f t="shared" si="253"/>
        <v>1.8183535533132937E-4</v>
      </c>
      <c r="GK17" s="15">
        <f t="shared" si="254"/>
        <v>34019.179850746266</v>
      </c>
      <c r="GL17" s="34">
        <f t="shared" si="149"/>
        <v>1.8243645568539631E-2</v>
      </c>
      <c r="GM17" s="211">
        <v>26.95</v>
      </c>
      <c r="GN17" s="38">
        <f t="shared" si="150"/>
        <v>-7.0007369196758021E-3</v>
      </c>
      <c r="GO17" s="14">
        <f t="shared" si="151"/>
        <v>4.9010317418511838E-5</v>
      </c>
      <c r="GP17" s="15">
        <f t="shared" si="255"/>
        <v>33781.020522388055</v>
      </c>
      <c r="GQ17" s="34">
        <f t="shared" si="153"/>
        <v>1.8377005474253638E-2</v>
      </c>
      <c r="GR17" s="211">
        <v>26.56</v>
      </c>
      <c r="GS17" s="38">
        <f t="shared" si="154"/>
        <v>-1.4471243042671635E-2</v>
      </c>
      <c r="GT17" s="14">
        <f t="shared" si="256"/>
        <v>-2.6593811261443152E-4</v>
      </c>
      <c r="GU17" s="15">
        <f t="shared" si="257"/>
        <v>33292.167164179104</v>
      </c>
      <c r="GV17" s="34">
        <f t="shared" si="157"/>
        <v>1.8215184759035077E-2</v>
      </c>
      <c r="GW17" s="211">
        <v>26.39</v>
      </c>
      <c r="GX17" s="38">
        <f t="shared" si="158"/>
        <v>-6.4006024096384846E-3</v>
      </c>
      <c r="GY17" s="14">
        <f t="shared" si="258"/>
        <v>-1.1658815546069011E-4</v>
      </c>
      <c r="GZ17" s="15">
        <f t="shared" si="259"/>
        <v>33079.07723880597</v>
      </c>
      <c r="HA17" s="34">
        <f t="shared" si="161"/>
        <v>1.8149098202248255E-2</v>
      </c>
      <c r="HB17" s="211">
        <v>26.11</v>
      </c>
      <c r="HC17" s="38">
        <f t="shared" si="162"/>
        <v>-1.061007957559686E-2</v>
      </c>
      <c r="HD17" s="14">
        <f t="shared" si="260"/>
        <v>-1.9256337615117589E-4</v>
      </c>
      <c r="HE17" s="15">
        <f t="shared" si="261"/>
        <v>32728.105597014925</v>
      </c>
      <c r="HF17" s="34">
        <f t="shared" si="165"/>
        <v>1.7584152324818584E-2</v>
      </c>
      <c r="HG17" s="211">
        <v>26.04</v>
      </c>
      <c r="HH17" s="38">
        <f t="shared" si="166"/>
        <v>-2.680965147453094E-3</v>
      </c>
      <c r="HI17" s="14">
        <f t="shared" si="262"/>
        <v>-4.7142499530344921E-5</v>
      </c>
      <c r="HJ17" s="15">
        <f t="shared" si="263"/>
        <v>32640.362686567161</v>
      </c>
      <c r="HK17" s="34">
        <f t="shared" si="169"/>
        <v>1.8107205467869106E-2</v>
      </c>
      <c r="HL17" s="211">
        <v>26.7</v>
      </c>
      <c r="HM17" s="38">
        <f t="shared" si="170"/>
        <v>2.5345622119815673E-2</v>
      </c>
      <c r="HN17" s="14">
        <f t="shared" si="171"/>
        <v>6.4240056064048955E-4</v>
      </c>
      <c r="HO17" s="15">
        <f t="shared" si="264"/>
        <v>33467.652985074623</v>
      </c>
      <c r="HP17" s="34">
        <f t="shared" si="173"/>
        <v>1.817665743223576E-2</v>
      </c>
    </row>
    <row r="18" spans="2:224" s="5" customFormat="1" ht="18" customHeight="1" thickBot="1" x14ac:dyDescent="0.5">
      <c r="B18" s="283">
        <v>12</v>
      </c>
      <c r="C18" s="281" t="s">
        <v>14</v>
      </c>
      <c r="D18" s="173" t="s">
        <v>131</v>
      </c>
      <c r="E18" s="18">
        <v>24.9</v>
      </c>
      <c r="F18" s="19">
        <v>17689</v>
      </c>
      <c r="G18" s="171">
        <f t="shared" si="22"/>
        <v>9.3725097068448095E-3</v>
      </c>
      <c r="H18" s="169">
        <v>13.4</v>
      </c>
      <c r="I18" s="20">
        <v>24.87</v>
      </c>
      <c r="J18" s="39">
        <f>(I18-E18)/E18</f>
        <v>-1.2048192771083367E-3</v>
      </c>
      <c r="K18" s="21">
        <f t="shared" si="24"/>
        <v>-1.1292180369691632E-5</v>
      </c>
      <c r="L18" s="22">
        <f t="shared" si="25"/>
        <v>710.40160642570288</v>
      </c>
      <c r="M18" s="23">
        <f t="shared" si="26"/>
        <v>17667.687951807231</v>
      </c>
      <c r="N18" s="24">
        <f t="shared" si="27"/>
        <v>9.8716859248713165E-3</v>
      </c>
      <c r="O18" s="20">
        <v>23.79</v>
      </c>
      <c r="P18" s="39">
        <f t="shared" si="0"/>
        <v>-4.3425814234016959E-2</v>
      </c>
      <c r="Q18" s="21">
        <f t="shared" si="1"/>
        <v>-4.2868599915002166E-4</v>
      </c>
      <c r="R18" s="22">
        <f t="shared" si="2"/>
        <v>16900.454216867471</v>
      </c>
      <c r="S18" s="35">
        <f t="shared" si="28"/>
        <v>9.5262829000169035E-3</v>
      </c>
      <c r="T18" s="20">
        <v>24.03</v>
      </c>
      <c r="U18" s="39">
        <f t="shared" si="3"/>
        <v>1.0088272383354434E-2</v>
      </c>
      <c r="V18" s="21">
        <f t="shared" si="4"/>
        <v>9.6103736696262111E-5</v>
      </c>
      <c r="W18" s="22">
        <f>T18*$L18</f>
        <v>17070.950602409641</v>
      </c>
      <c r="X18" s="35">
        <f t="shared" si="30"/>
        <v>9.6373222693470657E-3</v>
      </c>
      <c r="Y18" s="20">
        <v>24.08</v>
      </c>
      <c r="Z18" s="39">
        <f t="shared" si="5"/>
        <v>2.0807324178109513E-3</v>
      </c>
      <c r="AA18" s="21">
        <f t="shared" si="31"/>
        <v>2.0052688866721844E-5</v>
      </c>
      <c r="AB18" s="22">
        <f>Y18*$L18</f>
        <v>17106.470682730924</v>
      </c>
      <c r="AC18" s="35">
        <f t="shared" si="33"/>
        <v>9.547175471334518E-3</v>
      </c>
      <c r="AD18" s="20">
        <v>23.67</v>
      </c>
      <c r="AE18" s="39">
        <f t="shared" si="6"/>
        <v>-1.7026578073089559E-2</v>
      </c>
      <c r="AF18" s="21">
        <f t="shared" si="7"/>
        <v>-1.6255572854016279E-4</v>
      </c>
      <c r="AG18" s="22">
        <f>AD18*$L18</f>
        <v>16815.206024096387</v>
      </c>
      <c r="AH18" s="35">
        <f>AG18/$AG$19</f>
        <v>9.5454858402984708E-3</v>
      </c>
      <c r="AI18" s="20">
        <v>23.41</v>
      </c>
      <c r="AJ18" s="39">
        <f t="shared" si="8"/>
        <v>-1.0984368398817133E-2</v>
      </c>
      <c r="AK18" s="21">
        <f t="shared" si="9"/>
        <v>-1.0485113301553094E-4</v>
      </c>
      <c r="AL18" s="22">
        <f>AI18*$L18</f>
        <v>16630.501606425703</v>
      </c>
      <c r="AM18" s="35">
        <f>AL18/$AL$19</f>
        <v>9.638261685370856E-3</v>
      </c>
      <c r="AN18" s="20">
        <v>23.51</v>
      </c>
      <c r="AO18" s="39">
        <f t="shared" si="38"/>
        <v>4.2716787697565746E-3</v>
      </c>
      <c r="AP18" s="21">
        <f t="shared" si="10"/>
        <v>4.1171557818756907E-5</v>
      </c>
      <c r="AQ18" s="22">
        <f>AN18*$L18</f>
        <v>16701.541767068276</v>
      </c>
      <c r="AR18" s="35">
        <f>AQ18/$AQ$19</f>
        <v>9.5784028357756967E-3</v>
      </c>
      <c r="AS18" s="20">
        <v>23.54</v>
      </c>
      <c r="AT18" s="39">
        <f t="shared" si="11"/>
        <v>1.2760527435132958E-3</v>
      </c>
      <c r="AU18" s="21">
        <f t="shared" si="12"/>
        <v>1.222254721706711E-5</v>
      </c>
      <c r="AV18" s="22">
        <f>AS18*$L18</f>
        <v>16722.853815261045</v>
      </c>
      <c r="AW18" s="35">
        <f>AV18/$AV$19</f>
        <v>9.5837144861409124E-3</v>
      </c>
      <c r="AX18" s="20">
        <v>23.69</v>
      </c>
      <c r="AY18" s="39">
        <f t="shared" si="13"/>
        <v>6.3721325403569302E-3</v>
      </c>
      <c r="AZ18" s="21">
        <f t="shared" si="14"/>
        <v>6.1068698934628603E-5</v>
      </c>
      <c r="BA18" s="22">
        <f>AX18*$L18</f>
        <v>16829.414056224901</v>
      </c>
      <c r="BB18" s="35">
        <f>BA18/$BA$19</f>
        <v>9.623118954927002E-3</v>
      </c>
      <c r="BC18" s="20">
        <v>23.64</v>
      </c>
      <c r="BD18" s="39">
        <f t="shared" si="15"/>
        <v>-2.1105951878430014E-3</v>
      </c>
      <c r="BE18" s="21">
        <f t="shared" si="16"/>
        <v>-2.0310508558309702E-5</v>
      </c>
      <c r="BF18" s="22">
        <f>BC18*$L18</f>
        <v>16793.893975903615</v>
      </c>
      <c r="BG18" s="35">
        <f>BF18/$BF$19</f>
        <v>9.6076517760352656E-3</v>
      </c>
      <c r="BH18" s="20">
        <v>24.05</v>
      </c>
      <c r="BI18" s="39">
        <f t="shared" si="17"/>
        <v>1.7343485617597298E-2</v>
      </c>
      <c r="BJ18" s="21">
        <f t="shared" si="18"/>
        <v>1.6663017039655076E-4</v>
      </c>
      <c r="BK18" s="22">
        <f>BH18*$L18</f>
        <v>17085.158634538155</v>
      </c>
      <c r="BL18" s="35">
        <f t="shared" si="48"/>
        <v>9.5288936177495998E-3</v>
      </c>
      <c r="BM18" s="20">
        <v>24.15</v>
      </c>
      <c r="BN18" s="39">
        <f t="shared" si="19"/>
        <v>4.1580041580040689E-3</v>
      </c>
      <c r="BO18" s="21">
        <f t="shared" si="205"/>
        <v>3.9621179283781274E-5</v>
      </c>
      <c r="BP18" s="22">
        <f>BM18*$L18</f>
        <v>17156.198795180724</v>
      </c>
      <c r="BQ18" s="35">
        <f>BP18/$BP$19</f>
        <v>9.5992347175028366E-3</v>
      </c>
      <c r="BR18" s="20">
        <v>24.28</v>
      </c>
      <c r="BS18" s="39">
        <f>(BR18-BM18)/BM18</f>
        <v>5.3830227743272285E-3</v>
      </c>
      <c r="BT18" s="21">
        <f>BS18*BQ18</f>
        <v>5.1672899100430367E-5</v>
      </c>
      <c r="BU18" s="22">
        <f>BR18*$L18</f>
        <v>17248.551004016066</v>
      </c>
      <c r="BV18" s="35">
        <f t="shared" si="54"/>
        <v>9.6344596101547164E-3</v>
      </c>
      <c r="BW18" s="20">
        <v>23.98</v>
      </c>
      <c r="BX18" s="39">
        <f>(BW18-BR18)/BR18</f>
        <v>-1.2355848434925893E-2</v>
      </c>
      <c r="BY18" s="21">
        <f>BX18*BV18</f>
        <v>-1.1904192269548688E-4</v>
      </c>
      <c r="BZ18" s="22">
        <f>BW18*$L18</f>
        <v>17035.430522088354</v>
      </c>
      <c r="CA18" s="35">
        <f t="shared" si="58"/>
        <v>9.5919687973102206E-3</v>
      </c>
      <c r="CB18" s="20">
        <v>23.72</v>
      </c>
      <c r="CC18" s="39">
        <f>(CB18-BW18)/BW18</f>
        <v>-1.0842368640533843E-2</v>
      </c>
      <c r="CD18" s="21">
        <f>CC18*CA18</f>
        <v>-1.0399966168893546E-4</v>
      </c>
      <c r="CE18" s="22">
        <f>CB18*$L18</f>
        <v>16850.72610441767</v>
      </c>
      <c r="CF18" s="35">
        <f t="shared" si="62"/>
        <v>9.6435042541725621E-3</v>
      </c>
      <c r="CG18" s="20">
        <v>23.79</v>
      </c>
      <c r="CH18" s="39">
        <f>(CG18-CB18)/CB18</f>
        <v>2.9510961214165381E-3</v>
      </c>
      <c r="CI18" s="21">
        <f>CH18*CF18</f>
        <v>2.8458908001352534E-5</v>
      </c>
      <c r="CJ18" s="22">
        <f>CG18*$L18</f>
        <v>16900.454216867471</v>
      </c>
      <c r="CK18" s="35">
        <f t="shared" si="66"/>
        <v>9.5522544026670573E-3</v>
      </c>
      <c r="CL18" s="20">
        <v>23.41</v>
      </c>
      <c r="CM18" s="39">
        <f>(CL18-CG18)/CG18</f>
        <v>-1.5973097940311015E-2</v>
      </c>
      <c r="CN18" s="21">
        <f>CM18*CK18</f>
        <v>-1.5257909512456799E-4</v>
      </c>
      <c r="CO18" s="22">
        <f>CL18*$L18</f>
        <v>16630.501606425703</v>
      </c>
      <c r="CP18" s="35">
        <f t="shared" si="70"/>
        <v>9.4113453207392631E-3</v>
      </c>
      <c r="CQ18" s="20">
        <v>23.29</v>
      </c>
      <c r="CR18" s="39">
        <f>(CQ18-CL18)/CL18</f>
        <v>-5.12601452370786E-3</v>
      </c>
      <c r="CS18" s="21">
        <f>CR18*CP18</f>
        <v>-4.8242692801739469E-5</v>
      </c>
      <c r="CT18" s="22">
        <f>CQ18*$L18</f>
        <v>16545.25341365462</v>
      </c>
      <c r="CU18" s="35">
        <f t="shared" si="218"/>
        <v>9.2235994964547062E-3</v>
      </c>
      <c r="CV18" s="20">
        <v>23.68</v>
      </c>
      <c r="CW18" s="39">
        <f>(CV18-CQ18)/CQ18</f>
        <v>1.6745384285100928E-2</v>
      </c>
      <c r="CX18" s="21">
        <f t="shared" si="75"/>
        <v>2.8040789485570509E-4</v>
      </c>
      <c r="CY18" s="22">
        <f>CV18*$L18</f>
        <v>16822.310040160643</v>
      </c>
      <c r="CZ18" s="35">
        <f t="shared" si="77"/>
        <v>9.3911059428261438E-3</v>
      </c>
      <c r="DA18" s="20">
        <v>23.19</v>
      </c>
      <c r="DB18" s="39">
        <f>(DA18-CV18)/CV18</f>
        <v>-2.0692567567567502E-2</v>
      </c>
      <c r="DC18" s="21">
        <f>DB18*CZ18</f>
        <v>-1.943260942561147E-4</v>
      </c>
      <c r="DD18" s="22">
        <f>DA18*$L18</f>
        <v>16474.213253012051</v>
      </c>
      <c r="DE18" s="35">
        <f t="shared" si="81"/>
        <v>9.2281533849717396E-3</v>
      </c>
      <c r="DF18" s="20">
        <v>24.21</v>
      </c>
      <c r="DG18" s="39">
        <f>(DF18-DA18)/DA18</f>
        <v>4.3984476067270357E-2</v>
      </c>
      <c r="DH18" s="21">
        <f>DG18*DE18</f>
        <v>4.0589549170638939E-4</v>
      </c>
      <c r="DI18" s="22">
        <f>DF18*$L18</f>
        <v>17198.822891566266</v>
      </c>
      <c r="DJ18" s="35">
        <f t="shared" si="85"/>
        <v>9.3439839473055761E-3</v>
      </c>
      <c r="DK18" s="20">
        <v>23.82</v>
      </c>
      <c r="DL18" s="39">
        <f>(DK18-DF18)/DF18</f>
        <v>-1.6109045848822823E-2</v>
      </c>
      <c r="DM18" s="21">
        <f>DL18*DJ18</f>
        <v>-1.5052266581781E-4</v>
      </c>
      <c r="DN18" s="22">
        <f>DK18*$L18</f>
        <v>16921.766265060243</v>
      </c>
      <c r="DO18" s="35">
        <f t="shared" si="89"/>
        <v>9.2896081303197164E-3</v>
      </c>
      <c r="DP18" s="20">
        <v>23.38</v>
      </c>
      <c r="DQ18" s="39">
        <f>(DP18-DK18)/DK18</f>
        <v>-1.8471872376154545E-2</v>
      </c>
      <c r="DR18" s="21">
        <f>DQ18*DO18</f>
        <v>-1.7159645580775345E-4</v>
      </c>
      <c r="DS18" s="22">
        <f>DP18*$L18</f>
        <v>16609.189558232934</v>
      </c>
      <c r="DT18" s="35">
        <f t="shared" si="93"/>
        <v>9.1886853835260462E-3</v>
      </c>
      <c r="DU18" s="20">
        <v>24.02</v>
      </c>
      <c r="DV18" s="39">
        <f>(DU18-DP18)/DP18</f>
        <v>2.7373823781009436E-2</v>
      </c>
      <c r="DW18" s="21">
        <f t="shared" si="95"/>
        <v>7.4932622839375771E-4</v>
      </c>
      <c r="DX18" s="22">
        <f>DU18*$L18</f>
        <v>17063.846586345382</v>
      </c>
      <c r="DY18" s="35">
        <f t="shared" si="97"/>
        <v>9.2586919596838058E-3</v>
      </c>
      <c r="DZ18" s="20">
        <v>24.01</v>
      </c>
      <c r="EA18" s="39">
        <f>(DZ18-DU18)/DU18</f>
        <v>-4.163197335552877E-4</v>
      </c>
      <c r="EB18" s="21">
        <f>EA18*DY18</f>
        <v>-3.8545761697260467E-6</v>
      </c>
      <c r="EC18" s="22">
        <f>DZ18*$L18</f>
        <v>17056.742570281127</v>
      </c>
      <c r="ED18" s="35">
        <f>EC18/$EC$19</f>
        <v>9.2006305111079802E-3</v>
      </c>
      <c r="EE18" s="20">
        <v>24</v>
      </c>
      <c r="EF18" s="39">
        <f>(EE18-DZ18)/DZ18</f>
        <v>-4.1649312786345532E-4</v>
      </c>
      <c r="EG18" s="21">
        <f>EF18*ED18</f>
        <v>-3.8319993798873046E-6</v>
      </c>
      <c r="EH18" s="22">
        <f>EE18*$L18</f>
        <v>17049.638554216868</v>
      </c>
      <c r="EI18" s="35">
        <f t="shared" si="105"/>
        <v>9.2230562953570343E-3</v>
      </c>
      <c r="EJ18" s="20">
        <v>25.48</v>
      </c>
      <c r="EK18" s="39">
        <f>(EJ18-EE18)/EE18</f>
        <v>6.1666666666666682E-2</v>
      </c>
      <c r="EL18" s="21">
        <f>EK18*EI18</f>
        <v>5.6875513821368388E-4</v>
      </c>
      <c r="EM18" s="22">
        <f>EJ18*$L18</f>
        <v>18101.03293172691</v>
      </c>
      <c r="EN18" s="35">
        <f t="shared" si="109"/>
        <v>9.6215717553049997E-3</v>
      </c>
      <c r="EO18" s="20">
        <v>25.15</v>
      </c>
      <c r="EP18" s="39">
        <f>(EO18-EJ18)/EJ18</f>
        <v>-1.2951334379905881E-2</v>
      </c>
      <c r="EQ18" s="21">
        <f>EP18*EN18</f>
        <v>-1.2461219306321303E-4</v>
      </c>
      <c r="ER18" s="22">
        <f>EO18*$L18</f>
        <v>17866.600401606425</v>
      </c>
      <c r="ES18" s="35">
        <f t="shared" si="113"/>
        <v>9.4182062687811156E-3</v>
      </c>
      <c r="ET18" s="20">
        <v>25.09</v>
      </c>
      <c r="EU18" s="39">
        <f>(ET18-EO18)/EO18</f>
        <v>-2.3856858846917984E-3</v>
      </c>
      <c r="EV18" s="21">
        <f t="shared" si="115"/>
        <v>5.6914971404176887E-6</v>
      </c>
      <c r="EW18" s="22">
        <f>ET18*$L18</f>
        <v>17823.976305220884</v>
      </c>
      <c r="EX18" s="35">
        <f t="shared" si="117"/>
        <v>9.4558583324835434E-3</v>
      </c>
      <c r="EY18" s="20">
        <v>25.07</v>
      </c>
      <c r="EZ18" s="39">
        <f>(EY18-ET18)/ET18</f>
        <v>-7.971303308090703E-4</v>
      </c>
      <c r="FA18" s="21">
        <f>EZ18*EX18</f>
        <v>-7.5375514806563106E-6</v>
      </c>
      <c r="FB18" s="22">
        <f>EY18*$L18</f>
        <v>17809.76827309237</v>
      </c>
      <c r="FC18" s="35">
        <f>FB18/$FB$19</f>
        <v>9.4020604911898946E-3</v>
      </c>
      <c r="FD18" s="20">
        <v>24.84</v>
      </c>
      <c r="FE18" s="39">
        <f>(FD18-EY18)/EY18</f>
        <v>-9.1743119266055207E-3</v>
      </c>
      <c r="FF18" s="21">
        <f>FE18*FC18</f>
        <v>-8.6257435698990014E-5</v>
      </c>
      <c r="FG18" s="22">
        <f>FD18*$L18</f>
        <v>17646.375903614458</v>
      </c>
      <c r="FH18" s="35">
        <f>FG18/$FG$19</f>
        <v>9.4847820423843415E-3</v>
      </c>
      <c r="FI18" s="20">
        <v>25.01</v>
      </c>
      <c r="FJ18" s="39">
        <f>(FI18-FD18)/FD18</f>
        <v>6.8438003220612602E-3</v>
      </c>
      <c r="FK18" s="21">
        <f>FJ18*FH18</f>
        <v>6.4911954396350811E-5</v>
      </c>
      <c r="FL18" s="22">
        <f>FI18*$L18</f>
        <v>17767.144176706832</v>
      </c>
      <c r="FM18" s="35">
        <f>FL18/$FL$19</f>
        <v>9.4940119416516457E-3</v>
      </c>
      <c r="FN18" s="20">
        <v>24.63</v>
      </c>
      <c r="FO18" s="39">
        <f>(FN18-FI18)/FI18</f>
        <v>-1.519392243102769E-2</v>
      </c>
      <c r="FP18" s="21">
        <f>FO18*FM18</f>
        <v>-1.4425128100070569E-4</v>
      </c>
      <c r="FQ18" s="22">
        <f>FN18*$L18</f>
        <v>17497.191566265061</v>
      </c>
      <c r="FR18" s="35">
        <f>FQ18/$FQ$19</f>
        <v>9.3207928163295921E-3</v>
      </c>
      <c r="FS18" s="20">
        <v>24.35</v>
      </c>
      <c r="FT18" s="39">
        <f>(FS18-FN18)/FN18</f>
        <v>-1.1368250101502135E-2</v>
      </c>
      <c r="FU18" s="21">
        <f>FT18*FR18</f>
        <v>-1.0596110388031925E-4</v>
      </c>
      <c r="FV18" s="22">
        <f>FS18*$L18</f>
        <v>17298.279116465867</v>
      </c>
      <c r="FW18" s="35">
        <f>FV18/$FQ$19</f>
        <v>9.2148317124492746E-3</v>
      </c>
      <c r="FX18" s="20">
        <v>24.24</v>
      </c>
      <c r="FY18" s="39">
        <f>(FX18-FS18)/FS18</f>
        <v>-4.5174537987680893E-3</v>
      </c>
      <c r="FZ18" s="21">
        <f>FY18*FW18</f>
        <v>-4.1627576524412635E-5</v>
      </c>
      <c r="GA18" s="22">
        <f>FX18*$L18</f>
        <v>17220.134939759038</v>
      </c>
      <c r="GB18" s="35">
        <f>GA18/$GA$19</f>
        <v>9.320861628501877E-3</v>
      </c>
      <c r="GC18" s="20">
        <v>24.58</v>
      </c>
      <c r="GD18" s="39">
        <f>(GC18-FX18)/FX18</f>
        <v>1.4026402640264021E-2</v>
      </c>
      <c r="GE18" s="21">
        <f>GD18*GB18</f>
        <v>1.3073815815555433E-4</v>
      </c>
      <c r="GF18" s="22">
        <f>GC18*$L18</f>
        <v>17461.671485943774</v>
      </c>
      <c r="GG18" s="35">
        <f>GF18/$GF$19</f>
        <v>9.381804588249127E-3</v>
      </c>
      <c r="GH18" s="20">
        <v>24.91</v>
      </c>
      <c r="GI18" s="39">
        <f>(GH18-GC18)/GC18</f>
        <v>1.3425549227013908E-2</v>
      </c>
      <c r="GJ18" s="21">
        <f>GI18*GG18</f>
        <v>1.259558793377636E-4</v>
      </c>
      <c r="GK18" s="22">
        <f>GH18*$L18</f>
        <v>17696.104016064259</v>
      </c>
      <c r="GL18" s="35">
        <f>GK18/$GK$19</f>
        <v>9.4899833279197959E-3</v>
      </c>
      <c r="GM18" s="20">
        <v>24.75</v>
      </c>
      <c r="GN18" s="39">
        <f>(GM18-GH18)/GH18</f>
        <v>-6.4231232436772435E-3</v>
      </c>
      <c r="GO18" s="21">
        <f t="shared" si="151"/>
        <v>4.1256512203466875E-5</v>
      </c>
      <c r="GP18" s="22">
        <f>GM18*$L18</f>
        <v>17582.439759036148</v>
      </c>
      <c r="GQ18" s="35">
        <f>GP18/$GP$19</f>
        <v>9.5649150530666242E-3</v>
      </c>
      <c r="GR18" s="20">
        <v>24.81</v>
      </c>
      <c r="GS18" s="39">
        <f>(GR18-GM18)/GM18</f>
        <v>2.4242424242423726E-3</v>
      </c>
      <c r="GT18" s="21">
        <f>GS18*GQ18</f>
        <v>2.3187672855918596E-5</v>
      </c>
      <c r="GU18" s="22">
        <f>GR18*$L18</f>
        <v>17625.063855421686</v>
      </c>
      <c r="GV18" s="35">
        <f>GU18/$GU$19</f>
        <v>9.6432230720541988E-3</v>
      </c>
      <c r="GW18" s="20">
        <v>24.77</v>
      </c>
      <c r="GX18" s="39">
        <f>(GW18-GR18)/GR18</f>
        <v>-1.6122531237403931E-3</v>
      </c>
      <c r="GY18" s="21">
        <f>GX18*GV18</f>
        <v>-1.5547316520844811E-5</v>
      </c>
      <c r="GZ18" s="22">
        <f>GW18*$L18</f>
        <v>17596.647791164662</v>
      </c>
      <c r="HA18" s="35">
        <f>GZ18/$GZ$19</f>
        <v>9.6545404361391453E-3</v>
      </c>
      <c r="HB18" s="20">
        <v>24.1</v>
      </c>
      <c r="HC18" s="39">
        <f>(HB18-GW18)/GW18</f>
        <v>-2.7048849414614377E-2</v>
      </c>
      <c r="HD18" s="21">
        <f>HC18*HA18</f>
        <v>-2.6114421042443313E-4</v>
      </c>
      <c r="HE18" s="22">
        <f>HB18*$L18</f>
        <v>17120.678714859441</v>
      </c>
      <c r="HF18" s="35">
        <f>HE18/$GF$19</f>
        <v>9.1985960364851117E-3</v>
      </c>
      <c r="HG18" s="20">
        <v>24.46</v>
      </c>
      <c r="HH18" s="39">
        <f>(HG18-HB18)/HB18</f>
        <v>1.493775933609956E-2</v>
      </c>
      <c r="HI18" s="21">
        <f>HH18*HF18</f>
        <v>1.3740641382301388E-4</v>
      </c>
      <c r="HJ18" s="22">
        <f>HG18*$L18</f>
        <v>17376.423293172695</v>
      </c>
      <c r="HK18" s="35">
        <f>HJ18/$HJ$19</f>
        <v>9.6395517993319128E-3</v>
      </c>
      <c r="HL18" s="20">
        <v>24.99</v>
      </c>
      <c r="HM18" s="39">
        <f>(HL18-HG18)/HG18</f>
        <v>2.1668029435813474E-2</v>
      </c>
      <c r="HN18" s="21">
        <f t="shared" si="171"/>
        <v>4.6950349963127919E-4</v>
      </c>
      <c r="HO18" s="22">
        <f>HL18*$L18</f>
        <v>17752.936144578314</v>
      </c>
      <c r="HP18" s="35">
        <f>HO18/$HO$19</f>
        <v>9.6418185900357008E-3</v>
      </c>
    </row>
    <row r="19" spans="2:224" s="5" customFormat="1" x14ac:dyDescent="0.45">
      <c r="B19" s="9"/>
      <c r="C19" s="278" t="s">
        <v>41</v>
      </c>
      <c r="D19" s="163"/>
      <c r="E19" s="28"/>
      <c r="F19" s="164">
        <f>SUM(F7:F18)</f>
        <v>1887328</v>
      </c>
      <c r="G19" s="26">
        <f t="shared" si="22"/>
        <v>1</v>
      </c>
      <c r="H19" s="27"/>
      <c r="I19" s="28"/>
      <c r="J19" s="29"/>
      <c r="K19" s="30">
        <f>SUM(K7:K18)</f>
        <v>-5.1710356496461649E-2</v>
      </c>
      <c r="L19" s="31"/>
      <c r="M19" s="25">
        <f>SUM(M7:M18)</f>
        <v>1789733.5962942459</v>
      </c>
      <c r="N19" s="26">
        <f>SUM(N7:N18)</f>
        <v>1</v>
      </c>
      <c r="O19" s="28"/>
      <c r="P19" s="29"/>
      <c r="Q19" s="30">
        <f>SUM(Q7:Q18)</f>
        <v>-8.7424418495343319E-3</v>
      </c>
      <c r="R19" s="25">
        <f>SUM(R7:R18)</f>
        <v>1774086.9544024861</v>
      </c>
      <c r="S19" s="36">
        <f t="shared" si="28"/>
        <v>1</v>
      </c>
      <c r="T19" s="28"/>
      <c r="U19" s="29"/>
      <c r="V19" s="30">
        <f>SUM(V7:V18)</f>
        <v>-1.549769968926324E-3</v>
      </c>
      <c r="W19" s="25">
        <f t="shared" ref="W19:X19" si="265">SUM(W7:W18)</f>
        <v>1771337.5277182888</v>
      </c>
      <c r="X19" s="36">
        <f t="shared" si="265"/>
        <v>1</v>
      </c>
      <c r="Y19" s="28"/>
      <c r="Z19" s="29"/>
      <c r="AA19" s="30">
        <f>SUM(AA7:AA18)</f>
        <v>1.1542627158173368E-2</v>
      </c>
      <c r="AB19" s="25">
        <f t="shared" ref="AB19" si="266">SUM(AB7:AB18)</f>
        <v>1791783.4163720212</v>
      </c>
      <c r="AC19" s="36">
        <f t="shared" si="33"/>
        <v>1</v>
      </c>
      <c r="AD19" s="28"/>
      <c r="AE19" s="29"/>
      <c r="AF19" s="30">
        <f>SUM(AF7:AF18)</f>
        <v>-1.68525835348248E-2</v>
      </c>
      <c r="AG19" s="25">
        <f t="shared" ref="AG19:AH19" si="267">SUM(AG7:AG18)</f>
        <v>1761587.236671298</v>
      </c>
      <c r="AH19" s="36">
        <f t="shared" si="267"/>
        <v>1</v>
      </c>
      <c r="AI19" s="28"/>
      <c r="AJ19" s="29"/>
      <c r="AK19" s="30">
        <f>SUM(AK7:AK18)</f>
        <v>-2.0504421288734892E-2</v>
      </c>
      <c r="AL19" s="25">
        <f t="shared" ref="AL19:AM19" si="268">SUM(AL7:AL18)</f>
        <v>1725466.9098337316</v>
      </c>
      <c r="AM19" s="36">
        <f t="shared" si="268"/>
        <v>1</v>
      </c>
      <c r="AN19" s="28"/>
      <c r="AO19" s="29"/>
      <c r="AP19" s="30">
        <f>SUM(AP7:AP18)</f>
        <v>1.0547730049165021E-2</v>
      </c>
      <c r="AQ19" s="25">
        <f t="shared" ref="AQ19:AR19" si="269">SUM(AQ7:AQ18)</f>
        <v>1743666.6690074243</v>
      </c>
      <c r="AR19" s="36">
        <f t="shared" si="269"/>
        <v>1.0000000000000004</v>
      </c>
      <c r="AS19" s="28"/>
      <c r="AT19" s="29"/>
      <c r="AU19" s="30">
        <f>SUM(AU7:AU18)</f>
        <v>7.211083825419864E-4</v>
      </c>
      <c r="AV19" s="25">
        <f t="shared" ref="AV19:AW19" si="270">SUM(AV7:AV18)</f>
        <v>1744924.0416588057</v>
      </c>
      <c r="AW19" s="36">
        <f t="shared" si="270"/>
        <v>0.99999999999999956</v>
      </c>
      <c r="AX19" s="28"/>
      <c r="AY19" s="29"/>
      <c r="AZ19" s="30">
        <f>SUM(AZ7:AZ18)</f>
        <v>2.2512690791848091E-3</v>
      </c>
      <c r="BA19" s="25">
        <f t="shared" ref="BA19:BB19" si="271">SUM(BA7:BA18)</f>
        <v>1748852.3351993174</v>
      </c>
      <c r="BB19" s="36">
        <f t="shared" si="271"/>
        <v>1.0000000000000002</v>
      </c>
      <c r="BC19" s="28"/>
      <c r="BD19" s="29"/>
      <c r="BE19" s="30">
        <f>SUM(BE7:BE18)</f>
        <v>-5.0411169966183174E-4</v>
      </c>
      <c r="BF19" s="25">
        <f t="shared" ref="BF19:BG19" si="272">SUM(BF7:BF18)</f>
        <v>1747970.7182761629</v>
      </c>
      <c r="BG19" s="36">
        <f t="shared" si="272"/>
        <v>1</v>
      </c>
      <c r="BJ19" s="30">
        <f>SUM(BJ7:BJ18)</f>
        <v>2.5752027310403658E-2</v>
      </c>
      <c r="BK19" s="25">
        <f t="shared" ref="BK19:BL19" si="273">SUM(BK7:BK18)</f>
        <v>1792984.5079509963</v>
      </c>
      <c r="BL19" s="36">
        <f t="shared" si="273"/>
        <v>1.0000000000000002</v>
      </c>
      <c r="BO19" s="30">
        <f>SUM(BO7:BO18)</f>
        <v>-3.2002468294105679E-3</v>
      </c>
      <c r="BP19" s="25">
        <f t="shared" ref="BP19:BQ19" si="274">SUM(BP7:BP18)</f>
        <v>1787246.5149642439</v>
      </c>
      <c r="BQ19" s="36">
        <f t="shared" si="274"/>
        <v>1</v>
      </c>
      <c r="BT19" s="30">
        <f>SUM(BT7:BT18)</f>
        <v>1.707205916480862E-3</v>
      </c>
      <c r="BU19" s="25">
        <f t="shared" ref="BU19:BV19" si="275">SUM(BU7:BU18)</f>
        <v>1790297.7127888005</v>
      </c>
      <c r="BV19" s="36">
        <f t="shared" si="275"/>
        <v>1</v>
      </c>
      <c r="BY19" s="30">
        <f>SUM(BY7:BY18)</f>
        <v>-7.9807505079104012E-3</v>
      </c>
      <c r="BZ19" s="25">
        <f t="shared" ref="BZ19:CA19" si="276">SUM(BZ7:BZ18)</f>
        <v>1776009.793408151</v>
      </c>
      <c r="CA19" s="36">
        <f t="shared" si="276"/>
        <v>0.99999999999999967</v>
      </c>
      <c r="CD19" s="30">
        <f>SUM(CD7:CD18)</f>
        <v>-1.612848550193562E-2</v>
      </c>
      <c r="CE19" s="25">
        <f t="shared" ref="CE19" si="277">SUM(CE7:CE18)</f>
        <v>1747365.4452038717</v>
      </c>
      <c r="CF19" s="36">
        <f t="shared" si="62"/>
        <v>1</v>
      </c>
      <c r="CI19" s="30">
        <f>SUM(CI7:CI18)</f>
        <v>1.2531990298900859E-2</v>
      </c>
      <c r="CJ19" s="25">
        <f t="shared" ref="CJ19" si="278">SUM(CJ7:CJ18)</f>
        <v>1769263.4120118015</v>
      </c>
      <c r="CK19" s="229">
        <f t="shared" si="66"/>
        <v>1</v>
      </c>
      <c r="CN19" s="30">
        <f>SUM(CN7:CN18)</f>
        <v>-1.2399941558892086E-3</v>
      </c>
      <c r="CO19" s="25">
        <f t="shared" ref="CO19" si="279">SUM(CO7:CO18)</f>
        <v>1767069.5357206778</v>
      </c>
      <c r="CP19" s="222">
        <f t="shared" si="70"/>
        <v>1</v>
      </c>
      <c r="CS19" s="30">
        <f>SUM(CS7:CS18)</f>
        <v>1.5124586831468591E-2</v>
      </c>
      <c r="CT19" s="25">
        <f t="shared" ref="CT19:CU19" si="280">SUM(CT7:CT18)</f>
        <v>1793795.732350928</v>
      </c>
      <c r="CU19" s="36">
        <f t="shared" si="280"/>
        <v>1</v>
      </c>
      <c r="CX19" s="30">
        <f>SUM(CX7:CX18)</f>
        <v>1.7025587594084307E-3</v>
      </c>
      <c r="CY19" s="25">
        <f t="shared" ref="CY19:CZ19" si="281">SUM(CY7:CY18)</f>
        <v>1791302.3388913195</v>
      </c>
      <c r="CZ19" s="36">
        <f t="shared" si="281"/>
        <v>1</v>
      </c>
      <c r="DC19" s="30">
        <f>SUM(DC7:DC18)</f>
        <v>-3.3997632129524383E-3</v>
      </c>
      <c r="DD19" s="25">
        <f t="shared" ref="DD19:DE19" si="282">SUM(DD7:DD18)</f>
        <v>1785212.3350962813</v>
      </c>
      <c r="DE19" s="36">
        <f t="shared" si="282"/>
        <v>0.99999999999999978</v>
      </c>
      <c r="DH19" s="30">
        <f>SUM(DH7:DH18)</f>
        <v>3.1042961011956385E-2</v>
      </c>
      <c r="DI19" s="25">
        <f t="shared" ref="DI19:DJ19" si="283">SUM(DI7:DI18)</f>
        <v>1840630.6120127384</v>
      </c>
      <c r="DJ19" s="36">
        <f t="shared" si="283"/>
        <v>1.0000000000000002</v>
      </c>
      <c r="DM19" s="30">
        <f>SUM(DM7:DM18)</f>
        <v>-1.0349935915826456E-2</v>
      </c>
      <c r="DN19" s="25">
        <f t="shared" ref="DN19:DO19" si="284">SUM(DN7:DN18)</f>
        <v>1821580.2031336981</v>
      </c>
      <c r="DO19" s="36">
        <f t="shared" si="284"/>
        <v>1</v>
      </c>
      <c r="DR19" s="30">
        <f>SUM(DR7:DR18)</f>
        <v>-7.6913841386701482E-3</v>
      </c>
      <c r="DS19" s="25">
        <f t="shared" ref="DS19:DT19" si="285">SUM(DS7:DS18)</f>
        <v>1807569.7300520001</v>
      </c>
      <c r="DT19" s="36">
        <f t="shared" si="285"/>
        <v>1</v>
      </c>
      <c r="DW19" s="30">
        <f>SUM(DW7:DW18)</f>
        <v>8.9738674278265346E-3</v>
      </c>
      <c r="DX19" s="25">
        <f t="shared" ref="DX19:DY19" si="286">SUM(DX7:DX18)</f>
        <v>1843008.3494135526</v>
      </c>
      <c r="DY19" s="36">
        <f t="shared" si="286"/>
        <v>1.0000000000000002</v>
      </c>
      <c r="EB19" s="30">
        <f>SUM(EB7:EB18)</f>
        <v>5.891647571397856E-3</v>
      </c>
      <c r="EC19" s="25">
        <f t="shared" ref="EC19:ED19" si="287">SUM(EC7:EC18)</f>
        <v>1853866.7050794414</v>
      </c>
      <c r="ED19" s="36">
        <f t="shared" si="287"/>
        <v>1</v>
      </c>
      <c r="EG19" s="30">
        <f>SUM(EG7:EG18)</f>
        <v>-2.8469720652316627E-3</v>
      </c>
      <c r="EH19" s="25">
        <f t="shared" ref="EH19:EI19" si="288">SUM(EH7:EH18)</f>
        <v>1848588.7983574166</v>
      </c>
      <c r="EI19" s="36">
        <f t="shared" si="288"/>
        <v>0.99999999999999989</v>
      </c>
      <c r="EL19" s="30">
        <f>SUM(EL7:EL18)</f>
        <v>1.7693541408331317E-2</v>
      </c>
      <c r="EM19" s="25">
        <f t="shared" ref="EM19:EN19" si="289">SUM(EM7:EM18)</f>
        <v>1881296.8808081311</v>
      </c>
      <c r="EN19" s="36">
        <f t="shared" si="289"/>
        <v>0.99999999999999989</v>
      </c>
      <c r="EQ19" s="30">
        <f>SUM(EQ7:EQ18)</f>
        <v>8.361814470098785E-3</v>
      </c>
      <c r="ER19" s="25">
        <f t="shared" ref="ER19:ES19" si="290">SUM(ER7:ER18)</f>
        <v>1897027.9362886245</v>
      </c>
      <c r="ES19" s="36">
        <f t="shared" si="290"/>
        <v>1</v>
      </c>
      <c r="EV19" s="30">
        <f>SUM(EV7:EV18)</f>
        <v>6.8840290149000348E-4</v>
      </c>
      <c r="EW19" s="25">
        <f t="shared" ref="EW19:EX19" si="291">SUM(EW7:EW18)</f>
        <v>1884966.5126634238</v>
      </c>
      <c r="EX19" s="36">
        <f t="shared" si="291"/>
        <v>1.0000000000000002</v>
      </c>
      <c r="FA19" s="30">
        <f>SUM(FA7:FA18)</f>
        <v>4.9202289068807324E-3</v>
      </c>
      <c r="FB19" s="25">
        <f t="shared" ref="FB19:FC19" si="292">SUM(FB7:FB18)</f>
        <v>1894240.9793875325</v>
      </c>
      <c r="FC19" s="36">
        <f t="shared" si="292"/>
        <v>1.0000000000000002</v>
      </c>
      <c r="FF19" s="30">
        <f>SUM(FF7:FF18)</f>
        <v>-1.7815800736203199E-2</v>
      </c>
      <c r="FG19" s="25">
        <f t="shared" ref="FG19:FH19" si="293">SUM(FG7:FG18)</f>
        <v>1860493.5595524139</v>
      </c>
      <c r="FH19" s="36">
        <f t="shared" si="293"/>
        <v>0.99999999999999989</v>
      </c>
      <c r="FK19" s="30">
        <f>SUM(FK7:FK18)</f>
        <v>5.864965777508736E-3</v>
      </c>
      <c r="FL19" s="25">
        <f t="shared" ref="FL19:FM19" si="294">SUM(FL7:FL18)</f>
        <v>1871405.2906084645</v>
      </c>
      <c r="FM19" s="36">
        <f t="shared" si="294"/>
        <v>0.99999999999999978</v>
      </c>
      <c r="FP19" s="30">
        <f>SUM(FP7:FP18)</f>
        <v>3.1078734279555032E-3</v>
      </c>
      <c r="FQ19" s="25">
        <f t="shared" ref="FQ19:FR19" si="295">SUM(FQ7:FQ18)</f>
        <v>1877221.3813840814</v>
      </c>
      <c r="FR19" s="36">
        <f t="shared" si="295"/>
        <v>1.0000000000000002</v>
      </c>
      <c r="FU19" s="30">
        <f>SUM(FU7:FU18)</f>
        <v>-6.2414140638629738E-3</v>
      </c>
      <c r="FV19" s="25">
        <f t="shared" ref="FV19:FW19" si="296">SUM(FV7:FV18)</f>
        <v>1865504.8654533266</v>
      </c>
      <c r="FW19" s="36">
        <f t="shared" si="296"/>
        <v>0.9937585859361372</v>
      </c>
      <c r="FZ19" s="30">
        <f>SUM(FZ7:FZ18)</f>
        <v>-9.6001999909470816E-3</v>
      </c>
      <c r="GA19" s="25">
        <f t="shared" ref="GA19:GB19" si="297">SUM(GA7:GA18)</f>
        <v>1847483.1647647575</v>
      </c>
      <c r="GB19" s="36">
        <f t="shared" si="297"/>
        <v>1</v>
      </c>
      <c r="GE19" s="30">
        <f>SUM(GE7:GE18)</f>
        <v>7.439421462233497E-3</v>
      </c>
      <c r="GF19" s="25">
        <f t="shared" ref="GF19:GG19" si="298">SUM(GF7:GF18)</f>
        <v>1861227.3706718236</v>
      </c>
      <c r="GG19" s="36">
        <f t="shared" si="298"/>
        <v>1</v>
      </c>
      <c r="GJ19" s="30">
        <f>SUM(GJ7:GJ18)</f>
        <v>1.8732529924256275E-3</v>
      </c>
      <c r="GK19" s="25">
        <f t="shared" ref="GK19:GL19" si="299">SUM(GK7:GK18)</f>
        <v>1864713.9204135193</v>
      </c>
      <c r="GL19" s="36">
        <f t="shared" si="299"/>
        <v>0.99999999999999967</v>
      </c>
      <c r="GO19" s="30">
        <f>SUM(GO7:GO18)</f>
        <v>5.941731223625288E-3</v>
      </c>
      <c r="GP19" s="25">
        <f t="shared" ref="GP19:GQ19" si="300">SUM(GP7:GP18)</f>
        <v>1838222.2593183417</v>
      </c>
      <c r="GQ19" s="36">
        <f t="shared" si="300"/>
        <v>1.0000000000000002</v>
      </c>
      <c r="GT19" s="30">
        <f>SUM(GT7:GT18)</f>
        <v>-5.7159671325446243E-3</v>
      </c>
      <c r="GU19" s="25">
        <f t="shared" ref="GU19:GV19" si="301">SUM(GU7:GU18)</f>
        <v>1827715.0413017664</v>
      </c>
      <c r="GV19" s="36">
        <f t="shared" si="301"/>
        <v>1</v>
      </c>
      <c r="GY19" s="30">
        <f>SUM(GY7:GY18)</f>
        <v>-2.7825954827669611E-3</v>
      </c>
      <c r="GZ19" s="25">
        <f t="shared" ref="GZ19:HA19" si="302">SUM(GZ7:GZ18)</f>
        <v>1822629.2496840551</v>
      </c>
      <c r="HA19" s="36">
        <f t="shared" si="302"/>
        <v>0.99999999999999989</v>
      </c>
      <c r="HD19" s="30">
        <f>SUM(HD7:HD18)</f>
        <v>-2.4763672149014697E-2</v>
      </c>
      <c r="HE19" s="25">
        <f t="shared" ref="HE19:HF19" si="303">SUM(HE7:HE18)</f>
        <v>1777494.2564956744</v>
      </c>
      <c r="HF19" s="36">
        <f t="shared" si="303"/>
        <v>0.97877926910642132</v>
      </c>
      <c r="HI19" s="30">
        <f>SUM(HI7:HI18)</f>
        <v>1.3619667377191853E-2</v>
      </c>
      <c r="HJ19" s="25">
        <f t="shared" ref="HJ19:HK19" si="304">SUM(HJ7:HJ18)</f>
        <v>1802617.3472481365</v>
      </c>
      <c r="HK19" s="36">
        <f t="shared" si="304"/>
        <v>0.99999999999999989</v>
      </c>
      <c r="HN19" s="30">
        <f>SUM(HN7:HN18)</f>
        <v>1.9048094905505492E-2</v>
      </c>
      <c r="HO19" s="25">
        <f t="shared" ref="HO19:HP19" si="305">SUM(HO7:HO18)</f>
        <v>1841243.5350033464</v>
      </c>
      <c r="HP19" s="36">
        <f t="shared" si="305"/>
        <v>0.99999999999999989</v>
      </c>
    </row>
    <row r="20" spans="2:224" s="5" customFormat="1" x14ac:dyDescent="0.45">
      <c r="B20" s="9"/>
      <c r="C20" s="32" t="s">
        <v>44</v>
      </c>
      <c r="D20" s="163"/>
      <c r="E20" s="27"/>
      <c r="F20" s="27"/>
      <c r="G20" s="27"/>
      <c r="H20" s="33">
        <f>AVERAGE(H7:H18)</f>
        <v>9.0649999999999995</v>
      </c>
      <c r="I20" s="28"/>
      <c r="J20" s="28"/>
      <c r="K20" s="28"/>
      <c r="L20" s="28"/>
      <c r="M20" s="28"/>
      <c r="N20" s="28"/>
      <c r="O20" s="9"/>
      <c r="P20" s="9"/>
      <c r="Q20" s="9"/>
      <c r="R20" s="9"/>
      <c r="S20" s="9"/>
    </row>
    <row r="21" spans="2:224" s="5" customFormat="1" ht="20" x14ac:dyDescent="0.4">
      <c r="C21" s="32" t="s">
        <v>185</v>
      </c>
      <c r="D21" s="163"/>
      <c r="E21" s="7"/>
      <c r="F21" s="7"/>
      <c r="G21" s="7"/>
      <c r="I21" s="7"/>
      <c r="J21" s="7"/>
      <c r="K21" s="37">
        <f>1000+(1000*K19)</f>
        <v>948.2896435035384</v>
      </c>
      <c r="L21" s="7"/>
      <c r="M21" s="7"/>
      <c r="N21" s="7"/>
      <c r="Q21" s="37">
        <f>1000+(1000*Q19)</f>
        <v>991.25755815046568</v>
      </c>
      <c r="V21" s="37">
        <f>1000+(1000*V19)</f>
        <v>998.45023003107372</v>
      </c>
      <c r="AA21" s="37">
        <f>1000+(1000*AA19)</f>
        <v>1011.5426271581733</v>
      </c>
      <c r="AF21" s="37">
        <f>1000+(1000*AF19)</f>
        <v>983.14741646517518</v>
      </c>
      <c r="AK21" s="37">
        <f>1000+(1000*AK19)</f>
        <v>979.49557871126513</v>
      </c>
      <c r="AP21" s="37">
        <f>1000+(1000*AP19)</f>
        <v>1010.547730049165</v>
      </c>
      <c r="AU21" s="37">
        <f>1000+(1000*AU19)</f>
        <v>1000.721108382542</v>
      </c>
      <c r="AZ21" s="37">
        <f>1000+(1000*AZ19)</f>
        <v>1002.2512690791848</v>
      </c>
      <c r="BE21" s="37">
        <f>1000+(1000*BE19)</f>
        <v>999.49588830033815</v>
      </c>
      <c r="BJ21" s="37">
        <f>1000+(1000*BJ19)</f>
        <v>1025.7520273104037</v>
      </c>
      <c r="BO21" s="37">
        <f>1000+(1000*BO19)</f>
        <v>996.79975317058938</v>
      </c>
      <c r="BT21" s="37">
        <f>1000+(1000*BT19)</f>
        <v>1001.7072059164809</v>
      </c>
      <c r="BY21" s="37">
        <f>1000+(1000*BY19)</f>
        <v>992.01924949208956</v>
      </c>
      <c r="CD21" s="37">
        <f>1000+(1000*CD19)</f>
        <v>983.87151449806436</v>
      </c>
      <c r="CI21" s="37">
        <f>1000+(1000*CI19)</f>
        <v>1012.5319902989008</v>
      </c>
      <c r="CN21" s="37">
        <f>1000+(1000*CN19)</f>
        <v>998.76000584411076</v>
      </c>
      <c r="CS21" s="37">
        <f>1000+(1000*CS19)</f>
        <v>1015.1245868314686</v>
      </c>
      <c r="CX21" s="37">
        <f>1000+(1000*CX19)</f>
        <v>1001.7025587594085</v>
      </c>
      <c r="DC21" s="37">
        <f>1000+(1000*DC19)</f>
        <v>996.60023678704761</v>
      </c>
      <c r="DH21" s="37">
        <f>1000+(1000*DH19)</f>
        <v>1031.0429610119563</v>
      </c>
      <c r="DM21" s="37">
        <f>1000+(1000*DM19)</f>
        <v>989.65006408417355</v>
      </c>
      <c r="DR21" s="37">
        <f>1000+(1000*DR19)</f>
        <v>992.30861586132983</v>
      </c>
      <c r="DW21" s="37">
        <f>1000+(1000*DW19)</f>
        <v>1008.9738674278266</v>
      </c>
      <c r="EB21" s="37">
        <f>1000+(1000*EB19)</f>
        <v>1005.8916475713978</v>
      </c>
      <c r="EG21" s="37">
        <f>1000+(1000*EG19)</f>
        <v>997.15302793476837</v>
      </c>
      <c r="EL21" s="37">
        <f>1000+(1000*EL19)</f>
        <v>1017.6935414083313</v>
      </c>
      <c r="EQ21" s="37">
        <f>1000+(1000*EQ19)</f>
        <v>1008.3618144700988</v>
      </c>
      <c r="EV21" s="37">
        <f>1000+(1000*EV19)</f>
        <v>1000.68840290149</v>
      </c>
      <c r="FA21" s="37">
        <f>1000+(1000*FA19)</f>
        <v>1004.9202289068808</v>
      </c>
      <c r="FF21" s="37">
        <f>1000+(1000*FF19)</f>
        <v>982.18419926379681</v>
      </c>
      <c r="FK21" s="37">
        <f>1000+(1000*FK19)</f>
        <v>1005.8649657775087</v>
      </c>
      <c r="FP21" s="37">
        <f>1000+(1000*FP19)</f>
        <v>1003.1078734279555</v>
      </c>
      <c r="FU21" s="37">
        <f>1000+(1000*FU19)</f>
        <v>993.75858593613702</v>
      </c>
      <c r="FZ21" s="37">
        <f>1000+(1000*FZ19)</f>
        <v>990.39980000905291</v>
      </c>
      <c r="GE21" s="37">
        <f>1000+(1000*GE19)</f>
        <v>1007.4394214622334</v>
      </c>
      <c r="GJ21" s="37">
        <f>1000+(1000*GJ19)</f>
        <v>1001.8732529924256</v>
      </c>
      <c r="GO21" s="37">
        <f>1000+(1000*GO19)</f>
        <v>1005.9417312236253</v>
      </c>
      <c r="GT21" s="37">
        <f>1000+(1000*GT19)</f>
        <v>994.28403286745538</v>
      </c>
      <c r="GY21" s="37">
        <f>1000+(1000*GY19)</f>
        <v>997.21740451723304</v>
      </c>
      <c r="HD21" s="37">
        <f>1000+(1000*HD19)</f>
        <v>975.23632785098528</v>
      </c>
      <c r="HI21" s="37">
        <f>1000+(1000*HI19)</f>
        <v>1013.6196673771918</v>
      </c>
      <c r="HN21" s="37">
        <f>1000+(1000*HN19)</f>
        <v>1019.0480949055055</v>
      </c>
    </row>
    <row r="22" spans="2:224" ht="21" thickBot="1" x14ac:dyDescent="0.5"/>
    <row r="23" spans="2:224" x14ac:dyDescent="0.45">
      <c r="B23" s="293" t="s">
        <v>171</v>
      </c>
      <c r="C23" s="232" t="s">
        <v>172</v>
      </c>
    </row>
    <row r="24" spans="2:224" x14ac:dyDescent="0.45">
      <c r="B24" s="294"/>
      <c r="C24" s="9" t="s">
        <v>186</v>
      </c>
    </row>
    <row r="25" spans="2:224" x14ac:dyDescent="0.45">
      <c r="B25" s="294"/>
      <c r="C25" s="232" t="s">
        <v>232</v>
      </c>
    </row>
    <row r="26" spans="2:224" x14ac:dyDescent="0.45">
      <c r="B26" s="294"/>
    </row>
    <row r="27" spans="2:224" x14ac:dyDescent="0.45">
      <c r="B27" s="294"/>
    </row>
    <row r="28" spans="2:224" ht="21" thickBot="1" x14ac:dyDescent="0.5">
      <c r="B28" s="295"/>
    </row>
  </sheetData>
  <mergeCells count="55">
    <mergeCell ref="GR4:HP4"/>
    <mergeCell ref="FS5:FW5"/>
    <mergeCell ref="FX5:GB5"/>
    <mergeCell ref="GC5:GG5"/>
    <mergeCell ref="GH5:GL5"/>
    <mergeCell ref="GM5:GQ5"/>
    <mergeCell ref="FS4:GQ4"/>
    <mergeCell ref="GR5:GV5"/>
    <mergeCell ref="GW5:HA5"/>
    <mergeCell ref="HB5:HF5"/>
    <mergeCell ref="HG5:HK5"/>
    <mergeCell ref="HL5:HP5"/>
    <mergeCell ref="EY5:FC5"/>
    <mergeCell ref="FD5:FH5"/>
    <mergeCell ref="FI5:FM5"/>
    <mergeCell ref="FN5:FR5"/>
    <mergeCell ref="EY4:FR4"/>
    <mergeCell ref="DZ4:EX4"/>
    <mergeCell ref="DZ5:ED5"/>
    <mergeCell ref="EE5:EI5"/>
    <mergeCell ref="EJ5:EN5"/>
    <mergeCell ref="EO5:ES5"/>
    <mergeCell ref="ET5:EX5"/>
    <mergeCell ref="CG5:CK5"/>
    <mergeCell ref="CL5:CP5"/>
    <mergeCell ref="CQ5:CU5"/>
    <mergeCell ref="CV5:CZ5"/>
    <mergeCell ref="B2:CZ2"/>
    <mergeCell ref="E5:G5"/>
    <mergeCell ref="I4:AH4"/>
    <mergeCell ref="AI4:BG4"/>
    <mergeCell ref="AN5:AR5"/>
    <mergeCell ref="AS5:AW5"/>
    <mergeCell ref="AX5:BB5"/>
    <mergeCell ref="BC5:BG5"/>
    <mergeCell ref="AI5:AM5"/>
    <mergeCell ref="BH5:BL5"/>
    <mergeCell ref="BM5:BQ5"/>
    <mergeCell ref="BR5:BV5"/>
    <mergeCell ref="B23:B28"/>
    <mergeCell ref="T5:X5"/>
    <mergeCell ref="I5:N5"/>
    <mergeCell ref="O5:S5"/>
    <mergeCell ref="DA4:DY4"/>
    <mergeCell ref="DA5:DE5"/>
    <mergeCell ref="DF5:DJ5"/>
    <mergeCell ref="DK5:DO5"/>
    <mergeCell ref="DP5:DT5"/>
    <mergeCell ref="DU5:DY5"/>
    <mergeCell ref="BW5:CA5"/>
    <mergeCell ref="BH4:CA4"/>
    <mergeCell ref="CB4:CZ4"/>
    <mergeCell ref="CB5:CF5"/>
    <mergeCell ref="AD5:AH5"/>
    <mergeCell ref="Y5:A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343E-B852-4D00-97CA-D45EE2F11E96}">
  <dimension ref="B1:F19"/>
  <sheetViews>
    <sheetView zoomScale="71" workbookViewId="0"/>
  </sheetViews>
  <sheetFormatPr defaultRowHeight="14" x14ac:dyDescent="0.3"/>
  <cols>
    <col min="1" max="1" width="8.7265625" style="136"/>
    <col min="2" max="2" width="36" style="136" customWidth="1"/>
    <col min="3" max="3" width="0.54296875" style="136" customWidth="1"/>
    <col min="4" max="4" width="69.26953125" style="136" customWidth="1"/>
    <col min="5" max="5" width="17.6328125" style="136" customWidth="1"/>
    <col min="6" max="6" width="19.81640625" style="251" bestFit="1" customWidth="1"/>
    <col min="7" max="16384" width="8.7265625" style="136"/>
  </cols>
  <sheetData>
    <row r="1" spans="2:6" ht="14.5" thickBot="1" x14ac:dyDescent="0.35"/>
    <row r="2" spans="2:6" s="247" customFormat="1" ht="28.5" thickBot="1" x14ac:dyDescent="0.65">
      <c r="B2" s="264" t="s">
        <v>85</v>
      </c>
      <c r="C2" s="265"/>
      <c r="D2" s="265" t="s">
        <v>86</v>
      </c>
      <c r="E2" s="265" t="s">
        <v>84</v>
      </c>
      <c r="F2" s="266" t="s">
        <v>201</v>
      </c>
    </row>
    <row r="3" spans="2:6" ht="31" x14ac:dyDescent="0.35">
      <c r="B3" s="259" t="s">
        <v>21</v>
      </c>
      <c r="C3" s="260"/>
      <c r="D3" s="261" t="s">
        <v>26</v>
      </c>
      <c r="E3" s="262" t="s">
        <v>72</v>
      </c>
      <c r="F3" s="263">
        <v>0.3</v>
      </c>
    </row>
    <row r="4" spans="2:6" ht="62" x14ac:dyDescent="0.35">
      <c r="B4" s="252" t="s">
        <v>22</v>
      </c>
      <c r="C4" s="248"/>
      <c r="D4" s="249" t="s">
        <v>27</v>
      </c>
      <c r="E4" s="250" t="s">
        <v>73</v>
      </c>
      <c r="F4" s="253">
        <v>0.2</v>
      </c>
    </row>
    <row r="5" spans="2:6" ht="35.5" customHeight="1" x14ac:dyDescent="0.35">
      <c r="B5" s="252" t="s">
        <v>23</v>
      </c>
      <c r="C5" s="248"/>
      <c r="D5" s="249" t="s">
        <v>28</v>
      </c>
      <c r="E5" s="250" t="s">
        <v>73</v>
      </c>
      <c r="F5" s="253">
        <v>0.25</v>
      </c>
    </row>
    <row r="6" spans="2:6" ht="36" customHeight="1" x14ac:dyDescent="0.35">
      <c r="B6" s="252" t="s">
        <v>24</v>
      </c>
      <c r="C6" s="248"/>
      <c r="D6" s="249" t="s">
        <v>29</v>
      </c>
      <c r="E6" s="250" t="s">
        <v>73</v>
      </c>
      <c r="F6" s="253">
        <v>0.15</v>
      </c>
    </row>
    <row r="7" spans="2:6" ht="31" customHeight="1" thickBot="1" x14ac:dyDescent="0.4">
      <c r="B7" s="254" t="s">
        <v>25</v>
      </c>
      <c r="C7" s="255"/>
      <c r="D7" s="256" t="s">
        <v>30</v>
      </c>
      <c r="E7" s="257" t="s">
        <v>72</v>
      </c>
      <c r="F7" s="258">
        <v>0.1</v>
      </c>
    </row>
    <row r="8" spans="2:6" ht="14.5" thickBot="1" x14ac:dyDescent="0.35">
      <c r="B8" s="137"/>
      <c r="C8" s="137"/>
      <c r="D8" s="137"/>
    </row>
    <row r="9" spans="2:6" ht="61.5" customHeight="1" thickBot="1" x14ac:dyDescent="0.35">
      <c r="B9" s="290" t="s">
        <v>31</v>
      </c>
      <c r="C9" s="291"/>
      <c r="D9" s="291"/>
      <c r="E9" s="291"/>
      <c r="F9" s="292"/>
    </row>
    <row r="11" spans="2:6" ht="14.5" thickBot="1" x14ac:dyDescent="0.35"/>
    <row r="12" spans="2:6" ht="28.5" thickBot="1" x14ac:dyDescent="0.35">
      <c r="B12" s="267" t="s">
        <v>32</v>
      </c>
      <c r="C12" s="268"/>
      <c r="D12" s="269" t="s">
        <v>33</v>
      </c>
    </row>
    <row r="14" spans="2:6" ht="14.5" thickBot="1" x14ac:dyDescent="0.35"/>
    <row r="15" spans="2:6" x14ac:dyDescent="0.3">
      <c r="B15" s="287" t="s">
        <v>35</v>
      </c>
      <c r="C15" s="270"/>
      <c r="D15" s="271" t="s">
        <v>88</v>
      </c>
    </row>
    <row r="16" spans="2:6" x14ac:dyDescent="0.3">
      <c r="B16" s="288"/>
      <c r="C16" s="138"/>
      <c r="D16" s="272" t="s">
        <v>89</v>
      </c>
    </row>
    <row r="17" spans="2:4" x14ac:dyDescent="0.3">
      <c r="B17" s="288"/>
      <c r="C17" s="138"/>
      <c r="D17" s="272" t="s">
        <v>90</v>
      </c>
    </row>
    <row r="18" spans="2:4" x14ac:dyDescent="0.3">
      <c r="B18" s="288"/>
      <c r="C18" s="138"/>
      <c r="D18" s="272" t="s">
        <v>91</v>
      </c>
    </row>
    <row r="19" spans="2:4" ht="14.5" thickBot="1" x14ac:dyDescent="0.35">
      <c r="B19" s="289"/>
      <c r="C19" s="273"/>
      <c r="D19" s="274" t="s">
        <v>92</v>
      </c>
    </row>
  </sheetData>
  <mergeCells count="2">
    <mergeCell ref="B15:B19"/>
    <mergeCell ref="B9:F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CE9A-D01F-4439-9616-9B1FF4E6AA14}">
  <dimension ref="B4:AC76"/>
  <sheetViews>
    <sheetView zoomScale="58" zoomScaleNormal="37" workbookViewId="0"/>
  </sheetViews>
  <sheetFormatPr defaultRowHeight="15.5" x14ac:dyDescent="0.35"/>
  <cols>
    <col min="1" max="1" width="8.7265625" style="40" customWidth="1"/>
    <col min="2" max="2" width="8.26953125" style="40" bestFit="1" customWidth="1"/>
    <col min="3" max="3" width="39.6328125" style="40" bestFit="1" customWidth="1"/>
    <col min="4" max="4" width="31.7265625" style="40" bestFit="1" customWidth="1"/>
    <col min="5" max="5" width="14" style="40" bestFit="1" customWidth="1"/>
    <col min="6" max="6" width="35.36328125" style="40" bestFit="1" customWidth="1"/>
    <col min="7" max="7" width="23.7265625" style="40" bestFit="1" customWidth="1"/>
    <col min="8" max="8" width="32.6328125" style="40" bestFit="1" customWidth="1"/>
    <col min="9" max="9" width="9" style="40" bestFit="1" customWidth="1"/>
    <col min="10" max="10" width="41.453125" style="40" bestFit="1" customWidth="1"/>
    <col min="11" max="11" width="23.7265625" style="40" bestFit="1" customWidth="1"/>
    <col min="12" max="12" width="27.1796875" style="40" bestFit="1" customWidth="1"/>
    <col min="13" max="13" width="10.54296875" style="40" bestFit="1" customWidth="1"/>
    <col min="14" max="14" width="25.54296875" style="40" bestFit="1" customWidth="1"/>
    <col min="15" max="15" width="23.7265625" style="40" bestFit="1" customWidth="1"/>
    <col min="16" max="16" width="17.81640625" style="40" bestFit="1" customWidth="1"/>
    <col min="17" max="17" width="10.36328125" style="40" bestFit="1" customWidth="1"/>
    <col min="18" max="18" width="25.54296875" style="40" bestFit="1" customWidth="1"/>
    <col min="19" max="19" width="38.54296875" style="40" bestFit="1" customWidth="1"/>
    <col min="20" max="20" width="17.81640625" style="40" bestFit="1" customWidth="1"/>
    <col min="21" max="21" width="9" style="40" bestFit="1" customWidth="1"/>
    <col min="22" max="22" width="25.54296875" style="40" bestFit="1" customWidth="1"/>
    <col min="23" max="23" width="23.7265625" style="40" bestFit="1" customWidth="1"/>
    <col min="24" max="25" width="17.1796875" style="40" bestFit="1" customWidth="1"/>
    <col min="26" max="26" width="29.54296875" style="40" bestFit="1" customWidth="1"/>
    <col min="27" max="27" width="19.1796875" style="40" bestFit="1" customWidth="1"/>
    <col min="28" max="28" width="26.453125" style="40" bestFit="1" customWidth="1"/>
    <col min="29" max="29" width="7.36328125" style="40" bestFit="1" customWidth="1"/>
    <col min="30" max="30" width="33.54296875" style="40" bestFit="1" customWidth="1"/>
    <col min="31" max="31" width="19.1796875" style="40" bestFit="1" customWidth="1"/>
    <col min="32" max="32" width="21.36328125" style="40" bestFit="1" customWidth="1"/>
    <col min="33" max="33" width="7.36328125" style="40" bestFit="1" customWidth="1"/>
    <col min="34" max="34" width="20.26953125" style="40" bestFit="1" customWidth="1"/>
    <col min="35" max="35" width="19.1796875" style="40" bestFit="1" customWidth="1"/>
    <col min="36" max="37" width="13.7265625" style="40" bestFit="1" customWidth="1"/>
    <col min="38" max="38" width="23.6328125" style="40" customWidth="1"/>
    <col min="39" max="39" width="22.54296875" style="40" customWidth="1"/>
    <col min="40" max="40" width="25.1796875" style="40" customWidth="1"/>
    <col min="41" max="41" width="17.36328125" style="40" customWidth="1"/>
    <col min="42" max="42" width="22.36328125" style="40" customWidth="1"/>
    <col min="43" max="43" width="20.26953125" style="40" customWidth="1"/>
    <col min="44" max="44" width="16.90625" style="40" customWidth="1"/>
    <col min="45" max="45" width="19.1796875" style="40" customWidth="1"/>
    <col min="46" max="16384" width="8.7265625" style="40"/>
  </cols>
  <sheetData>
    <row r="4" spans="3:19" s="87" customFormat="1" ht="23" x14ac:dyDescent="0.5">
      <c r="C4" s="327" t="s">
        <v>18</v>
      </c>
      <c r="D4" s="316"/>
      <c r="E4" s="316"/>
      <c r="F4" s="316"/>
      <c r="G4" s="316"/>
      <c r="H4" s="316"/>
      <c r="J4" s="327" t="s">
        <v>42</v>
      </c>
      <c r="K4" s="316"/>
      <c r="L4" s="316"/>
      <c r="M4" s="316"/>
      <c r="N4" s="316"/>
      <c r="O4" s="316"/>
      <c r="P4" s="316"/>
      <c r="Q4" s="316"/>
      <c r="R4" s="316"/>
      <c r="S4" s="316"/>
    </row>
    <row r="5" spans="3:19" x14ac:dyDescent="0.35">
      <c r="J5" s="41"/>
      <c r="K5" s="41"/>
      <c r="L5" s="41"/>
      <c r="M5" s="41"/>
      <c r="N5" s="41"/>
      <c r="O5" s="41"/>
      <c r="P5" s="41"/>
      <c r="Q5" s="41"/>
      <c r="R5" s="41"/>
    </row>
    <row r="6" spans="3:19" s="75" customFormat="1" ht="20.5" x14ac:dyDescent="0.35">
      <c r="M6" s="328" t="s">
        <v>45</v>
      </c>
      <c r="N6" s="329"/>
      <c r="P6" s="328" t="s">
        <v>46</v>
      </c>
      <c r="Q6" s="329"/>
    </row>
    <row r="7" spans="3:19" s="74" customFormat="1" ht="18" x14ac:dyDescent="0.35">
      <c r="C7" s="80" t="s">
        <v>0</v>
      </c>
      <c r="D7" s="81" t="s">
        <v>43</v>
      </c>
      <c r="E7" s="81" t="s">
        <v>16</v>
      </c>
      <c r="F7" s="82" t="s">
        <v>20</v>
      </c>
      <c r="G7" s="82" t="s">
        <v>19</v>
      </c>
      <c r="H7" s="81" t="s">
        <v>51</v>
      </c>
      <c r="J7" s="80" t="s">
        <v>0</v>
      </c>
      <c r="K7" s="81" t="s">
        <v>43</v>
      </c>
      <c r="L7" s="81" t="s">
        <v>16</v>
      </c>
      <c r="M7" s="81" t="s">
        <v>49</v>
      </c>
      <c r="N7" s="81" t="s">
        <v>50</v>
      </c>
      <c r="O7" s="81" t="s">
        <v>47</v>
      </c>
      <c r="P7" s="81" t="s">
        <v>49</v>
      </c>
      <c r="Q7" s="81" t="s">
        <v>50</v>
      </c>
      <c r="R7" s="81" t="s">
        <v>48</v>
      </c>
      <c r="S7" s="81" t="s">
        <v>51</v>
      </c>
    </row>
    <row r="8" spans="3:19" x14ac:dyDescent="0.35">
      <c r="C8" s="42" t="s">
        <v>3</v>
      </c>
      <c r="D8" s="43">
        <v>1068</v>
      </c>
      <c r="E8" s="43">
        <v>12.17</v>
      </c>
      <c r="F8" s="43">
        <f>((86.91-75.17)/75.17)*100</f>
        <v>15.617932685911926</v>
      </c>
      <c r="G8" s="43">
        <f>E8/F8</f>
        <v>0.77923245315161871</v>
      </c>
      <c r="H8" s="43" t="s">
        <v>56</v>
      </c>
      <c r="J8" s="42" t="s">
        <v>4</v>
      </c>
      <c r="K8" s="43">
        <v>263</v>
      </c>
      <c r="L8" s="43">
        <v>7</v>
      </c>
      <c r="M8" s="44">
        <v>127945</v>
      </c>
      <c r="N8" s="44">
        <v>134298</v>
      </c>
      <c r="O8" s="44">
        <f t="shared" ref="O8:O14" si="0">N8-M8</f>
        <v>6353</v>
      </c>
      <c r="P8" s="44">
        <v>20865</v>
      </c>
      <c r="Q8" s="44">
        <v>20070</v>
      </c>
      <c r="R8" s="44">
        <f>Q8-P8</f>
        <v>-795</v>
      </c>
      <c r="S8" s="45" t="s">
        <v>52</v>
      </c>
    </row>
    <row r="9" spans="3:19" x14ac:dyDescent="0.35">
      <c r="C9" s="46" t="s">
        <v>8</v>
      </c>
      <c r="D9" s="47">
        <v>852</v>
      </c>
      <c r="E9" s="47">
        <v>9.36</v>
      </c>
      <c r="F9" s="47">
        <f>((83.61-62.51)/62.51)*100</f>
        <v>33.754599264117743</v>
      </c>
      <c r="G9" s="47">
        <f>E9/F9</f>
        <v>0.27729554502369663</v>
      </c>
      <c r="H9" s="47" t="s">
        <v>56</v>
      </c>
      <c r="J9" s="46" t="s">
        <v>5</v>
      </c>
      <c r="K9" s="47">
        <v>166</v>
      </c>
      <c r="L9" s="47">
        <v>6.52</v>
      </c>
      <c r="M9" s="48">
        <v>108417</v>
      </c>
      <c r="N9" s="48">
        <v>106799</v>
      </c>
      <c r="O9" s="48">
        <f t="shared" si="0"/>
        <v>-1618</v>
      </c>
      <c r="P9" s="48">
        <v>18027</v>
      </c>
      <c r="Q9" s="48">
        <v>19430</v>
      </c>
      <c r="R9" s="48">
        <f t="shared" ref="R9:R14" si="1">Q9-P9</f>
        <v>1403</v>
      </c>
      <c r="S9" s="49" t="s">
        <v>52</v>
      </c>
    </row>
    <row r="10" spans="3:19" x14ac:dyDescent="0.35">
      <c r="C10" s="42" t="s">
        <v>10</v>
      </c>
      <c r="D10" s="43">
        <v>35</v>
      </c>
      <c r="E10" s="43">
        <v>12.9</v>
      </c>
      <c r="F10" s="43">
        <f>((1.73-1.4)/1.4)*100</f>
        <v>23.57142857142858</v>
      </c>
      <c r="G10" s="43">
        <f>E10/F10</f>
        <v>0.54727272727272713</v>
      </c>
      <c r="H10" s="43" t="s">
        <v>56</v>
      </c>
      <c r="J10" s="42" t="s">
        <v>6</v>
      </c>
      <c r="K10" s="43">
        <v>109</v>
      </c>
      <c r="L10" s="43">
        <v>7.06</v>
      </c>
      <c r="M10" s="44">
        <v>124010</v>
      </c>
      <c r="N10" s="44">
        <v>130772</v>
      </c>
      <c r="O10" s="44">
        <f t="shared" si="0"/>
        <v>6762</v>
      </c>
      <c r="P10" s="44">
        <v>18553</v>
      </c>
      <c r="Q10" s="44">
        <v>18467</v>
      </c>
      <c r="R10" s="44">
        <f t="shared" si="1"/>
        <v>-86</v>
      </c>
      <c r="S10" s="45" t="s">
        <v>52</v>
      </c>
    </row>
    <row r="11" spans="3:19" x14ac:dyDescent="0.35">
      <c r="C11" s="46" t="s">
        <v>13</v>
      </c>
      <c r="D11" s="47">
        <v>26.8</v>
      </c>
      <c r="E11" s="47">
        <v>12.1</v>
      </c>
      <c r="F11" s="47">
        <f>((1.95-1.38)/1.38)*100</f>
        <v>41.304347826086961</v>
      </c>
      <c r="G11" s="47">
        <f>E11/F11</f>
        <v>0.29294736842105257</v>
      </c>
      <c r="H11" s="47" t="s">
        <v>56</v>
      </c>
      <c r="J11" s="46" t="s">
        <v>7</v>
      </c>
      <c r="K11" s="47">
        <v>135</v>
      </c>
      <c r="L11" s="47">
        <v>6.05</v>
      </c>
      <c r="M11" s="48">
        <v>121601</v>
      </c>
      <c r="N11" s="48">
        <v>126371</v>
      </c>
      <c r="O11" s="48">
        <f t="shared" si="0"/>
        <v>4770</v>
      </c>
      <c r="P11" s="48">
        <v>17692</v>
      </c>
      <c r="Q11" s="48">
        <v>17879</v>
      </c>
      <c r="R11" s="48">
        <f t="shared" si="1"/>
        <v>187</v>
      </c>
      <c r="S11" s="49" t="s">
        <v>52</v>
      </c>
    </row>
    <row r="12" spans="3:19" x14ac:dyDescent="0.35">
      <c r="C12" s="42" t="s">
        <v>14</v>
      </c>
      <c r="D12" s="43">
        <v>24.9</v>
      </c>
      <c r="E12" s="43">
        <v>13.4</v>
      </c>
      <c r="F12" s="43">
        <f>((1.43-0.88)/0.88)*100</f>
        <v>62.499999999999986</v>
      </c>
      <c r="G12" s="43">
        <f>E12/F12</f>
        <v>0.21440000000000006</v>
      </c>
      <c r="H12" s="43" t="s">
        <v>56</v>
      </c>
      <c r="J12" s="42" t="s">
        <v>9</v>
      </c>
      <c r="K12" s="43">
        <v>140</v>
      </c>
      <c r="L12" s="43">
        <v>6.25</v>
      </c>
      <c r="M12" s="44">
        <v>71308</v>
      </c>
      <c r="N12" s="44">
        <v>75613</v>
      </c>
      <c r="O12" s="44">
        <f t="shared" si="0"/>
        <v>4305</v>
      </c>
      <c r="P12" s="44">
        <v>9552</v>
      </c>
      <c r="Q12" s="44">
        <v>10309</v>
      </c>
      <c r="R12" s="44">
        <f t="shared" si="1"/>
        <v>757</v>
      </c>
      <c r="S12" s="45" t="s">
        <v>52</v>
      </c>
    </row>
    <row r="13" spans="3:19" x14ac:dyDescent="0.35">
      <c r="J13" s="46" t="s">
        <v>11</v>
      </c>
      <c r="K13" s="47">
        <v>78.400000000000006</v>
      </c>
      <c r="L13" s="47">
        <v>8.59</v>
      </c>
      <c r="M13" s="48">
        <v>24948</v>
      </c>
      <c r="N13" s="48">
        <v>29282</v>
      </c>
      <c r="O13" s="48">
        <f t="shared" si="0"/>
        <v>4334</v>
      </c>
      <c r="P13" s="48">
        <v>5542</v>
      </c>
      <c r="Q13" s="48">
        <v>7017</v>
      </c>
      <c r="R13" s="48">
        <f t="shared" si="1"/>
        <v>1475</v>
      </c>
      <c r="S13" s="49" t="s">
        <v>52</v>
      </c>
    </row>
    <row r="14" spans="3:19" x14ac:dyDescent="0.35">
      <c r="J14" s="42" t="s">
        <v>12</v>
      </c>
      <c r="K14" s="43">
        <v>36.4</v>
      </c>
      <c r="L14" s="43">
        <v>7.38</v>
      </c>
      <c r="M14" s="44">
        <v>33797</v>
      </c>
      <c r="N14" s="44">
        <v>36168</v>
      </c>
      <c r="O14" s="44">
        <f t="shared" si="0"/>
        <v>2371</v>
      </c>
      <c r="P14" s="44">
        <v>3843</v>
      </c>
      <c r="Q14" s="44">
        <v>4531</v>
      </c>
      <c r="R14" s="44">
        <f t="shared" si="1"/>
        <v>688</v>
      </c>
      <c r="S14" s="45" t="s">
        <v>52</v>
      </c>
    </row>
    <row r="15" spans="3:19" ht="16" thickBot="1" x14ac:dyDescent="0.4">
      <c r="F15" s="40" t="s">
        <v>34</v>
      </c>
    </row>
    <row r="16" spans="3:19" x14ac:dyDescent="0.35">
      <c r="H16" s="51" t="s">
        <v>55</v>
      </c>
      <c r="S16" s="53" t="s">
        <v>57</v>
      </c>
    </row>
    <row r="17" spans="2:19" ht="16" thickBot="1" x14ac:dyDescent="0.4">
      <c r="H17" s="52" t="s">
        <v>54</v>
      </c>
      <c r="S17" s="54" t="s">
        <v>58</v>
      </c>
    </row>
    <row r="18" spans="2:19" x14ac:dyDescent="0.35">
      <c r="S18" s="54" t="s">
        <v>59</v>
      </c>
    </row>
    <row r="19" spans="2:19" ht="16" thickBot="1" x14ac:dyDescent="0.4">
      <c r="S19" s="55" t="s">
        <v>60</v>
      </c>
    </row>
    <row r="22" spans="2:19" ht="22.5" customHeight="1" x14ac:dyDescent="0.35">
      <c r="B22" s="316" t="s">
        <v>80</v>
      </c>
      <c r="C22" s="316"/>
      <c r="D22" s="316"/>
      <c r="E22" s="316"/>
      <c r="F22" s="316"/>
      <c r="G22" s="316"/>
      <c r="H22" s="316"/>
      <c r="I22" s="316"/>
      <c r="J22" s="316"/>
      <c r="K22" s="316"/>
      <c r="L22" s="316"/>
      <c r="M22" s="316"/>
      <c r="N22" s="316"/>
      <c r="O22" s="316"/>
    </row>
    <row r="23" spans="2:19" ht="16" thickBot="1" x14ac:dyDescent="0.4"/>
    <row r="24" spans="2:19" ht="21" thickBot="1" x14ac:dyDescent="0.4">
      <c r="B24" s="76"/>
      <c r="C24" s="77" t="s">
        <v>61</v>
      </c>
      <c r="D24" s="317" t="s">
        <v>62</v>
      </c>
      <c r="E24" s="318"/>
      <c r="F24" s="318"/>
      <c r="G24" s="318"/>
      <c r="H24" s="318"/>
      <c r="I24" s="318"/>
      <c r="J24" s="318"/>
      <c r="K24" s="318"/>
      <c r="L24" s="318"/>
      <c r="M24" s="318"/>
      <c r="N24" s="318"/>
      <c r="O24" s="319"/>
    </row>
    <row r="25" spans="2:19" ht="18.5" thickBot="1" x14ac:dyDescent="0.4">
      <c r="B25" s="115"/>
      <c r="C25" s="114" t="s">
        <v>0</v>
      </c>
      <c r="D25" s="83" t="s">
        <v>66</v>
      </c>
      <c r="E25" s="84" t="s">
        <v>63</v>
      </c>
      <c r="F25" s="84" t="s">
        <v>67</v>
      </c>
      <c r="G25" s="84" t="s">
        <v>63</v>
      </c>
      <c r="H25" s="84" t="s">
        <v>68</v>
      </c>
      <c r="I25" s="84" t="s">
        <v>63</v>
      </c>
      <c r="J25" s="84" t="s">
        <v>69</v>
      </c>
      <c r="K25" s="84" t="s">
        <v>63</v>
      </c>
      <c r="L25" s="84" t="s">
        <v>70</v>
      </c>
      <c r="M25" s="85" t="s">
        <v>63</v>
      </c>
      <c r="N25" s="86" t="s">
        <v>71</v>
      </c>
      <c r="O25" s="86" t="s">
        <v>74</v>
      </c>
    </row>
    <row r="26" spans="2:19" x14ac:dyDescent="0.35">
      <c r="B26" s="310" t="s">
        <v>64</v>
      </c>
      <c r="C26" s="100" t="s">
        <v>3</v>
      </c>
      <c r="D26" s="62">
        <v>1.49E-2</v>
      </c>
      <c r="E26" s="65">
        <f t="shared" ref="E26:E37" si="2">RANK(D26,$D$26:$D$37,1)</f>
        <v>3</v>
      </c>
      <c r="F26" s="64">
        <v>2.93E-2</v>
      </c>
      <c r="G26" s="65">
        <f t="shared" ref="G26:G37" si="3">RANK(F26,$F$26:$F$37,0)</f>
        <v>5</v>
      </c>
      <c r="H26" s="64">
        <v>1.04E-2</v>
      </c>
      <c r="I26" s="65">
        <f t="shared" ref="I26:I37" si="4">RANK(H26,$H$26:$H$37,0)</f>
        <v>5</v>
      </c>
      <c r="J26" s="64">
        <v>0.154</v>
      </c>
      <c r="K26" s="65">
        <f t="shared" ref="K26:K37" si="5">RANK(J26,$J$26:$J$37,0)</f>
        <v>12</v>
      </c>
      <c r="L26" s="63">
        <v>1.7</v>
      </c>
      <c r="M26" s="68">
        <f t="shared" ref="M26:M37" si="6">RANK(L26,$L$26:$L$37,1)</f>
        <v>10</v>
      </c>
      <c r="N26" s="71">
        <f t="shared" ref="N26:N37" si="7">SUM(E26+G26+I26+K26+M26)</f>
        <v>35</v>
      </c>
      <c r="O26" s="71">
        <f t="shared" ref="O26:O37" si="8">RANK(N26,$N$26:$N$37,1)</f>
        <v>8</v>
      </c>
    </row>
    <row r="27" spans="2:19" x14ac:dyDescent="0.35">
      <c r="B27" s="311"/>
      <c r="C27" s="101" t="s">
        <v>8</v>
      </c>
      <c r="D27" s="56">
        <v>1.9800000000000002E-2</v>
      </c>
      <c r="E27" s="66">
        <f t="shared" si="2"/>
        <v>6</v>
      </c>
      <c r="F27" s="57">
        <v>3.3599999999999998E-2</v>
      </c>
      <c r="G27" s="66">
        <f t="shared" si="3"/>
        <v>2</v>
      </c>
      <c r="H27" s="57">
        <v>1.3100000000000001E-2</v>
      </c>
      <c r="I27" s="66">
        <f t="shared" si="4"/>
        <v>3</v>
      </c>
      <c r="J27" s="57">
        <v>0.17929999999999999</v>
      </c>
      <c r="K27" s="66">
        <f t="shared" si="5"/>
        <v>5</v>
      </c>
      <c r="L27" s="58">
        <v>1.6</v>
      </c>
      <c r="M27" s="69">
        <f t="shared" si="6"/>
        <v>9</v>
      </c>
      <c r="N27" s="72">
        <f t="shared" si="7"/>
        <v>25</v>
      </c>
      <c r="O27" s="72">
        <f t="shared" si="8"/>
        <v>3</v>
      </c>
    </row>
    <row r="28" spans="2:19" x14ac:dyDescent="0.35">
      <c r="B28" s="311"/>
      <c r="C28" s="95" t="s">
        <v>10</v>
      </c>
      <c r="D28" s="96">
        <v>1.4200000000000001E-2</v>
      </c>
      <c r="E28" s="97">
        <f t="shared" si="2"/>
        <v>1</v>
      </c>
      <c r="F28" s="98">
        <v>3.2500000000000001E-2</v>
      </c>
      <c r="G28" s="97">
        <f t="shared" si="3"/>
        <v>3</v>
      </c>
      <c r="H28" s="98">
        <v>1.32E-2</v>
      </c>
      <c r="I28" s="97">
        <f t="shared" si="4"/>
        <v>2</v>
      </c>
      <c r="J28" s="98">
        <v>0.1978</v>
      </c>
      <c r="K28" s="97">
        <f t="shared" si="5"/>
        <v>1</v>
      </c>
      <c r="L28" s="111">
        <v>2</v>
      </c>
      <c r="M28" s="112">
        <f t="shared" si="6"/>
        <v>11</v>
      </c>
      <c r="N28" s="113">
        <f t="shared" si="7"/>
        <v>18</v>
      </c>
      <c r="O28" s="79">
        <f t="shared" si="8"/>
        <v>1</v>
      </c>
    </row>
    <row r="29" spans="2:19" x14ac:dyDescent="0.35">
      <c r="B29" s="311"/>
      <c r="C29" s="101" t="s">
        <v>13</v>
      </c>
      <c r="D29" s="56">
        <v>2.1700000000000001E-2</v>
      </c>
      <c r="E29" s="66">
        <f t="shared" si="2"/>
        <v>8</v>
      </c>
      <c r="F29" s="57">
        <v>0.03</v>
      </c>
      <c r="G29" s="66">
        <f t="shared" si="3"/>
        <v>4</v>
      </c>
      <c r="H29" s="57">
        <v>7.9000000000000008E-3</v>
      </c>
      <c r="I29" s="66">
        <f t="shared" si="4"/>
        <v>10</v>
      </c>
      <c r="J29" s="57">
        <v>0.18609999999999999</v>
      </c>
      <c r="K29" s="66">
        <f t="shared" si="5"/>
        <v>2</v>
      </c>
      <c r="L29" s="58">
        <v>1.22</v>
      </c>
      <c r="M29" s="69">
        <f t="shared" si="6"/>
        <v>6</v>
      </c>
      <c r="N29" s="72">
        <f t="shared" si="7"/>
        <v>30</v>
      </c>
      <c r="O29" s="72">
        <f t="shared" si="8"/>
        <v>4</v>
      </c>
    </row>
    <row r="30" spans="2:19" x14ac:dyDescent="0.35">
      <c r="B30" s="311"/>
      <c r="C30" s="101" t="s">
        <v>14</v>
      </c>
      <c r="D30" s="56">
        <v>2.5999999999999999E-2</v>
      </c>
      <c r="E30" s="66">
        <f t="shared" si="2"/>
        <v>9</v>
      </c>
      <c r="F30" s="57">
        <v>2.9000000000000001E-2</v>
      </c>
      <c r="G30" s="66">
        <f t="shared" si="3"/>
        <v>6</v>
      </c>
      <c r="H30" s="57">
        <v>7.9000000000000008E-3</v>
      </c>
      <c r="I30" s="66">
        <f t="shared" si="4"/>
        <v>10</v>
      </c>
      <c r="J30" s="57">
        <v>0.16830000000000001</v>
      </c>
      <c r="K30" s="66">
        <f t="shared" si="5"/>
        <v>8</v>
      </c>
      <c r="L30" s="58">
        <v>1.49</v>
      </c>
      <c r="M30" s="69">
        <f t="shared" si="6"/>
        <v>7</v>
      </c>
      <c r="N30" s="72">
        <f t="shared" si="7"/>
        <v>40</v>
      </c>
      <c r="O30" s="72">
        <f t="shared" si="8"/>
        <v>10</v>
      </c>
    </row>
    <row r="31" spans="2:19" x14ac:dyDescent="0.35">
      <c r="B31" s="311" t="s">
        <v>65</v>
      </c>
      <c r="C31" s="101" t="s">
        <v>4</v>
      </c>
      <c r="D31" s="56">
        <v>1.89E-2</v>
      </c>
      <c r="E31" s="66">
        <f t="shared" si="2"/>
        <v>5</v>
      </c>
      <c r="F31" s="57">
        <v>2.8899999999999999E-2</v>
      </c>
      <c r="G31" s="66">
        <f t="shared" si="3"/>
        <v>8</v>
      </c>
      <c r="H31" s="57">
        <v>1.06E-2</v>
      </c>
      <c r="I31" s="66">
        <f t="shared" si="4"/>
        <v>4</v>
      </c>
      <c r="J31" s="57">
        <v>0.15820000000000001</v>
      </c>
      <c r="K31" s="66">
        <f t="shared" si="5"/>
        <v>11</v>
      </c>
      <c r="L31" s="58">
        <v>1.05</v>
      </c>
      <c r="M31" s="69">
        <f t="shared" si="6"/>
        <v>4</v>
      </c>
      <c r="N31" s="72">
        <f t="shared" si="7"/>
        <v>32</v>
      </c>
      <c r="O31" s="72">
        <f t="shared" si="8"/>
        <v>6</v>
      </c>
    </row>
    <row r="32" spans="2:19" x14ac:dyDescent="0.35">
      <c r="B32" s="311"/>
      <c r="C32" s="103" t="s">
        <v>5</v>
      </c>
      <c r="D32" s="104">
        <v>3.0599999999999999E-2</v>
      </c>
      <c r="E32" s="105">
        <f t="shared" si="2"/>
        <v>12</v>
      </c>
      <c r="F32" s="106">
        <v>2.7E-2</v>
      </c>
      <c r="G32" s="105">
        <f t="shared" si="3"/>
        <v>10</v>
      </c>
      <c r="H32" s="106">
        <v>1.01E-2</v>
      </c>
      <c r="I32" s="105">
        <f t="shared" si="4"/>
        <v>7</v>
      </c>
      <c r="J32" s="106">
        <v>0.16200000000000001</v>
      </c>
      <c r="K32" s="105">
        <f t="shared" si="5"/>
        <v>10</v>
      </c>
      <c r="L32" s="109">
        <v>1.08</v>
      </c>
      <c r="M32" s="110">
        <f t="shared" si="6"/>
        <v>5</v>
      </c>
      <c r="N32" s="108">
        <f t="shared" si="7"/>
        <v>44</v>
      </c>
      <c r="O32" s="108">
        <f t="shared" si="8"/>
        <v>12</v>
      </c>
    </row>
    <row r="33" spans="2:25" x14ac:dyDescent="0.35">
      <c r="B33" s="311"/>
      <c r="C33" s="101" t="s">
        <v>6</v>
      </c>
      <c r="D33" s="56">
        <v>2.9499999999999998E-2</v>
      </c>
      <c r="E33" s="66">
        <f t="shared" si="2"/>
        <v>11</v>
      </c>
      <c r="F33" s="57">
        <v>2.5700000000000001E-2</v>
      </c>
      <c r="G33" s="66">
        <f t="shared" si="3"/>
        <v>11</v>
      </c>
      <c r="H33" s="57">
        <v>8.8999999999999999E-3</v>
      </c>
      <c r="I33" s="66">
        <f t="shared" si="4"/>
        <v>8</v>
      </c>
      <c r="J33" s="57">
        <v>0.1774</v>
      </c>
      <c r="K33" s="66">
        <f t="shared" si="5"/>
        <v>6</v>
      </c>
      <c r="L33" s="58">
        <v>0.84</v>
      </c>
      <c r="M33" s="69">
        <f t="shared" si="6"/>
        <v>1</v>
      </c>
      <c r="N33" s="72">
        <f t="shared" si="7"/>
        <v>37</v>
      </c>
      <c r="O33" s="72">
        <f t="shared" si="8"/>
        <v>9</v>
      </c>
    </row>
    <row r="34" spans="2:25" x14ac:dyDescent="0.35">
      <c r="B34" s="311"/>
      <c r="C34" s="101" t="s">
        <v>7</v>
      </c>
      <c r="D34" s="56">
        <v>1.84E-2</v>
      </c>
      <c r="E34" s="66">
        <f t="shared" si="2"/>
        <v>4</v>
      </c>
      <c r="F34" s="57">
        <v>2.5100000000000001E-2</v>
      </c>
      <c r="G34" s="66">
        <f t="shared" si="3"/>
        <v>12</v>
      </c>
      <c r="H34" s="57">
        <v>1.0200000000000001E-2</v>
      </c>
      <c r="I34" s="66">
        <f t="shared" si="4"/>
        <v>6</v>
      </c>
      <c r="J34" s="57">
        <v>0.1704</v>
      </c>
      <c r="K34" s="66">
        <f t="shared" si="5"/>
        <v>7</v>
      </c>
      <c r="L34" s="58">
        <v>0.87</v>
      </c>
      <c r="M34" s="69">
        <f t="shared" si="6"/>
        <v>3</v>
      </c>
      <c r="N34" s="72">
        <f t="shared" si="7"/>
        <v>32</v>
      </c>
      <c r="O34" s="72">
        <f t="shared" si="8"/>
        <v>6</v>
      </c>
    </row>
    <row r="35" spans="2:25" x14ac:dyDescent="0.35">
      <c r="B35" s="311"/>
      <c r="C35" s="101" t="s">
        <v>9</v>
      </c>
      <c r="D35" s="56">
        <v>1.9800000000000002E-2</v>
      </c>
      <c r="E35" s="66">
        <f t="shared" si="2"/>
        <v>6</v>
      </c>
      <c r="F35" s="57">
        <v>2.8000000000000001E-2</v>
      </c>
      <c r="G35" s="66">
        <f t="shared" si="3"/>
        <v>9</v>
      </c>
      <c r="H35" s="57">
        <v>8.5000000000000006E-3</v>
      </c>
      <c r="I35" s="66">
        <f t="shared" si="4"/>
        <v>9</v>
      </c>
      <c r="J35" s="57">
        <v>0.18010000000000001</v>
      </c>
      <c r="K35" s="66">
        <f t="shared" si="5"/>
        <v>4</v>
      </c>
      <c r="L35" s="58">
        <v>0.85</v>
      </c>
      <c r="M35" s="69">
        <f t="shared" si="6"/>
        <v>2</v>
      </c>
      <c r="N35" s="72">
        <f t="shared" si="7"/>
        <v>30</v>
      </c>
      <c r="O35" s="72">
        <f t="shared" si="8"/>
        <v>4</v>
      </c>
    </row>
    <row r="36" spans="2:25" x14ac:dyDescent="0.35">
      <c r="B36" s="311"/>
      <c r="C36" s="101" t="s">
        <v>11</v>
      </c>
      <c r="D36" s="56">
        <v>1.4500000000000001E-2</v>
      </c>
      <c r="E36" s="66">
        <f t="shared" si="2"/>
        <v>2</v>
      </c>
      <c r="F36" s="57">
        <v>3.9E-2</v>
      </c>
      <c r="G36" s="66">
        <f t="shared" si="3"/>
        <v>1</v>
      </c>
      <c r="H36" s="57">
        <v>1.8599999999999998E-2</v>
      </c>
      <c r="I36" s="66">
        <f t="shared" si="4"/>
        <v>1</v>
      </c>
      <c r="J36" s="57">
        <v>0.18360000000000001</v>
      </c>
      <c r="K36" s="66">
        <f t="shared" si="5"/>
        <v>3</v>
      </c>
      <c r="L36" s="58">
        <v>2.5</v>
      </c>
      <c r="M36" s="69">
        <f t="shared" si="6"/>
        <v>12</v>
      </c>
      <c r="N36" s="72">
        <f t="shared" si="7"/>
        <v>19</v>
      </c>
      <c r="O36" s="72">
        <f t="shared" si="8"/>
        <v>2</v>
      </c>
    </row>
    <row r="37" spans="2:25" ht="16" thickBot="1" x14ac:dyDescent="0.4">
      <c r="B37" s="312"/>
      <c r="C37" s="102" t="s">
        <v>12</v>
      </c>
      <c r="D37" s="59">
        <v>2.5999999999999999E-2</v>
      </c>
      <c r="E37" s="67">
        <f t="shared" si="2"/>
        <v>9</v>
      </c>
      <c r="F37" s="60">
        <v>2.9000000000000001E-2</v>
      </c>
      <c r="G37" s="67">
        <f t="shared" si="3"/>
        <v>6</v>
      </c>
      <c r="H37" s="60">
        <v>7.9000000000000008E-3</v>
      </c>
      <c r="I37" s="67">
        <f t="shared" si="4"/>
        <v>10</v>
      </c>
      <c r="J37" s="60">
        <v>0.16830000000000001</v>
      </c>
      <c r="K37" s="67">
        <f t="shared" si="5"/>
        <v>8</v>
      </c>
      <c r="L37" s="61">
        <v>1.49</v>
      </c>
      <c r="M37" s="70">
        <f t="shared" si="6"/>
        <v>7</v>
      </c>
      <c r="N37" s="73">
        <f t="shared" si="7"/>
        <v>40</v>
      </c>
      <c r="O37" s="73">
        <f t="shared" si="8"/>
        <v>10</v>
      </c>
    </row>
    <row r="38" spans="2:25" ht="16" thickBot="1" x14ac:dyDescent="0.4">
      <c r="D38" s="50"/>
    </row>
    <row r="39" spans="2:25" ht="16" thickBot="1" x14ac:dyDescent="0.4">
      <c r="D39" s="78" t="s">
        <v>72</v>
      </c>
      <c r="F39" s="78" t="s">
        <v>73</v>
      </c>
      <c r="H39" s="78" t="s">
        <v>73</v>
      </c>
      <c r="J39" s="78" t="s">
        <v>73</v>
      </c>
      <c r="L39" s="78" t="s">
        <v>72</v>
      </c>
    </row>
    <row r="45" spans="2:25" ht="22.5" customHeight="1" x14ac:dyDescent="0.35">
      <c r="B45" s="316" t="s">
        <v>81</v>
      </c>
      <c r="C45" s="316"/>
      <c r="D45" s="316"/>
      <c r="E45" s="316"/>
      <c r="F45" s="316"/>
      <c r="G45" s="316"/>
      <c r="H45" s="316"/>
      <c r="I45" s="316"/>
      <c r="J45" s="316"/>
      <c r="K45" s="316"/>
      <c r="L45" s="316"/>
      <c r="M45" s="316"/>
      <c r="N45" s="316"/>
      <c r="O45" s="316"/>
      <c r="P45" s="316"/>
      <c r="Q45" s="316"/>
      <c r="R45" s="316"/>
      <c r="S45" s="316"/>
      <c r="T45" s="316"/>
      <c r="U45" s="316"/>
      <c r="V45" s="316"/>
      <c r="W45" s="316"/>
      <c r="X45" s="316"/>
      <c r="Y45" s="316"/>
    </row>
    <row r="46" spans="2:25" ht="16" thickBot="1" x14ac:dyDescent="0.4"/>
    <row r="47" spans="2:25" ht="21" thickBot="1" x14ac:dyDescent="0.4">
      <c r="B47" s="134"/>
      <c r="C47" s="133" t="s">
        <v>61</v>
      </c>
      <c r="D47" s="317" t="s">
        <v>62</v>
      </c>
      <c r="E47" s="318"/>
      <c r="F47" s="318"/>
      <c r="G47" s="318"/>
      <c r="H47" s="318"/>
      <c r="I47" s="318"/>
      <c r="J47" s="318"/>
      <c r="K47" s="318"/>
      <c r="L47" s="318"/>
      <c r="M47" s="318"/>
      <c r="N47" s="318"/>
      <c r="O47" s="318"/>
      <c r="P47" s="318"/>
      <c r="Q47" s="318"/>
      <c r="R47" s="318"/>
      <c r="S47" s="318"/>
      <c r="T47" s="318"/>
      <c r="U47" s="318"/>
      <c r="V47" s="318"/>
      <c r="W47" s="318"/>
      <c r="X47" s="318"/>
      <c r="Y47" s="319"/>
    </row>
    <row r="48" spans="2:25" ht="18.5" thickBot="1" x14ac:dyDescent="0.4">
      <c r="B48" s="135"/>
      <c r="C48" s="320" t="s">
        <v>0</v>
      </c>
      <c r="D48" s="322" t="s">
        <v>21</v>
      </c>
      <c r="E48" s="323"/>
      <c r="F48" s="323"/>
      <c r="G48" s="324"/>
      <c r="H48" s="323" t="s">
        <v>67</v>
      </c>
      <c r="I48" s="323"/>
      <c r="J48" s="323"/>
      <c r="K48" s="325"/>
      <c r="L48" s="326" t="s">
        <v>68</v>
      </c>
      <c r="M48" s="323"/>
      <c r="N48" s="323"/>
      <c r="O48" s="325"/>
      <c r="P48" s="326" t="s">
        <v>69</v>
      </c>
      <c r="Q48" s="323"/>
      <c r="R48" s="323"/>
      <c r="S48" s="325"/>
      <c r="T48" s="326" t="s">
        <v>70</v>
      </c>
      <c r="U48" s="323"/>
      <c r="V48" s="323"/>
      <c r="W48" s="324"/>
      <c r="X48" s="123"/>
      <c r="Y48" s="123"/>
    </row>
    <row r="49" spans="2:25" ht="18" thickBot="1" x14ac:dyDescent="0.4">
      <c r="B49" s="132"/>
      <c r="C49" s="321"/>
      <c r="D49" s="83" t="s">
        <v>87</v>
      </c>
      <c r="E49" s="131" t="s">
        <v>63</v>
      </c>
      <c r="F49" s="84" t="s">
        <v>82</v>
      </c>
      <c r="G49" s="94" t="s">
        <v>83</v>
      </c>
      <c r="H49" s="84" t="s">
        <v>87</v>
      </c>
      <c r="I49" s="131" t="s">
        <v>63</v>
      </c>
      <c r="J49" s="84" t="s">
        <v>82</v>
      </c>
      <c r="K49" s="94" t="s">
        <v>83</v>
      </c>
      <c r="L49" s="84" t="s">
        <v>87</v>
      </c>
      <c r="M49" s="131" t="s">
        <v>63</v>
      </c>
      <c r="N49" s="84" t="s">
        <v>82</v>
      </c>
      <c r="O49" s="94" t="s">
        <v>83</v>
      </c>
      <c r="P49" s="84" t="s">
        <v>87</v>
      </c>
      <c r="Q49" s="131" t="s">
        <v>63</v>
      </c>
      <c r="R49" s="84" t="s">
        <v>82</v>
      </c>
      <c r="S49" s="94" t="s">
        <v>83</v>
      </c>
      <c r="T49" s="84" t="s">
        <v>87</v>
      </c>
      <c r="U49" s="84" t="s">
        <v>63</v>
      </c>
      <c r="V49" s="84" t="s">
        <v>82</v>
      </c>
      <c r="W49" s="116" t="s">
        <v>83</v>
      </c>
      <c r="X49" s="123" t="s">
        <v>71</v>
      </c>
      <c r="Y49" s="123" t="s">
        <v>74</v>
      </c>
    </row>
    <row r="50" spans="2:25" x14ac:dyDescent="0.35">
      <c r="B50" s="315" t="s">
        <v>64</v>
      </c>
      <c r="C50" s="100" t="s">
        <v>3</v>
      </c>
      <c r="D50" s="62">
        <v>1.49E-2</v>
      </c>
      <c r="E50" s="65">
        <f t="shared" ref="E50:E61" si="9">RANK(D50,$D$26:$D$37,1)</f>
        <v>3</v>
      </c>
      <c r="F50" s="65">
        <v>0.3</v>
      </c>
      <c r="G50" s="65">
        <f>E50*F50</f>
        <v>0.89999999999999991</v>
      </c>
      <c r="H50" s="64">
        <v>2.93E-2</v>
      </c>
      <c r="I50" s="65">
        <f t="shared" ref="I50:I61" si="10">RANK(H50,$F$26:$F$37,0)</f>
        <v>5</v>
      </c>
      <c r="J50" s="65">
        <v>0.2</v>
      </c>
      <c r="K50" s="65">
        <f>I50*J50</f>
        <v>1</v>
      </c>
      <c r="L50" s="64">
        <v>1.04E-2</v>
      </c>
      <c r="M50" s="65">
        <f t="shared" ref="M50:M61" si="11">RANK(L50,$H$26:$H$37,0)</f>
        <v>5</v>
      </c>
      <c r="N50" s="65">
        <v>0.25</v>
      </c>
      <c r="O50" s="65">
        <f>M50*N50</f>
        <v>1.25</v>
      </c>
      <c r="P50" s="64">
        <v>0.154</v>
      </c>
      <c r="Q50" s="65">
        <f t="shared" ref="Q50:Q61" si="12">RANK(P50,$J$26:$J$37,0)</f>
        <v>12</v>
      </c>
      <c r="R50" s="65">
        <v>0.15</v>
      </c>
      <c r="S50" s="65">
        <f>Q50*R50</f>
        <v>1.7999999999999998</v>
      </c>
      <c r="T50" s="88">
        <v>1.7</v>
      </c>
      <c r="U50" s="65">
        <f t="shared" ref="U50:U61" si="13">RANK(T50,$L$26:$L$37,1)</f>
        <v>10</v>
      </c>
      <c r="V50" s="65">
        <v>0.1</v>
      </c>
      <c r="W50" s="117">
        <f>U50*V50</f>
        <v>1</v>
      </c>
      <c r="X50" s="124">
        <f t="shared" ref="X50:X61" si="14">W50+S50+O50+K50+G50</f>
        <v>5.9499999999999993</v>
      </c>
      <c r="Y50" s="124">
        <f t="shared" ref="Y50:Y61" si="15">RANK(X50,$X$50:$X$61,1)</f>
        <v>4</v>
      </c>
    </row>
    <row r="51" spans="2:25" x14ac:dyDescent="0.35">
      <c r="B51" s="313"/>
      <c r="C51" s="101" t="s">
        <v>8</v>
      </c>
      <c r="D51" s="56">
        <v>1.9800000000000002E-2</v>
      </c>
      <c r="E51" s="66">
        <f t="shared" si="9"/>
        <v>6</v>
      </c>
      <c r="F51" s="66">
        <v>0.3</v>
      </c>
      <c r="G51" s="66">
        <f t="shared" ref="G51:G61" si="16">E51*F51</f>
        <v>1.7999999999999998</v>
      </c>
      <c r="H51" s="57">
        <v>3.3599999999999998E-2</v>
      </c>
      <c r="I51" s="66">
        <f t="shared" si="10"/>
        <v>2</v>
      </c>
      <c r="J51" s="66">
        <v>0.2</v>
      </c>
      <c r="K51" s="66">
        <f t="shared" ref="K51:K61" si="17">I51*J51</f>
        <v>0.4</v>
      </c>
      <c r="L51" s="57">
        <v>1.3100000000000001E-2</v>
      </c>
      <c r="M51" s="66">
        <f t="shared" si="11"/>
        <v>3</v>
      </c>
      <c r="N51" s="66">
        <v>0.25</v>
      </c>
      <c r="O51" s="66">
        <f t="shared" ref="O51:O61" si="18">M51*N51</f>
        <v>0.75</v>
      </c>
      <c r="P51" s="57">
        <v>0.17929999999999999</v>
      </c>
      <c r="Q51" s="66">
        <f t="shared" si="12"/>
        <v>5</v>
      </c>
      <c r="R51" s="66">
        <v>0.15</v>
      </c>
      <c r="S51" s="66">
        <f t="shared" ref="S51:S61" si="19">Q51*R51</f>
        <v>0.75</v>
      </c>
      <c r="T51" s="89">
        <v>1.6</v>
      </c>
      <c r="U51" s="66">
        <f t="shared" si="13"/>
        <v>9</v>
      </c>
      <c r="V51" s="66">
        <v>0.1</v>
      </c>
      <c r="W51" s="118">
        <f t="shared" ref="W51:W61" si="20">U51*V51</f>
        <v>0.9</v>
      </c>
      <c r="X51" s="125">
        <f t="shared" si="14"/>
        <v>4.5999999999999996</v>
      </c>
      <c r="Y51" s="125">
        <f t="shared" si="15"/>
        <v>3</v>
      </c>
    </row>
    <row r="52" spans="2:25" x14ac:dyDescent="0.35">
      <c r="B52" s="313"/>
      <c r="C52" s="95" t="s">
        <v>10</v>
      </c>
      <c r="D52" s="96">
        <v>1.4200000000000001E-2</v>
      </c>
      <c r="E52" s="97">
        <f t="shared" si="9"/>
        <v>1</v>
      </c>
      <c r="F52" s="97">
        <v>0.3</v>
      </c>
      <c r="G52" s="97">
        <f t="shared" si="16"/>
        <v>0.3</v>
      </c>
      <c r="H52" s="98">
        <v>3.2500000000000001E-2</v>
      </c>
      <c r="I52" s="97">
        <f t="shared" si="10"/>
        <v>3</v>
      </c>
      <c r="J52" s="97">
        <v>0.2</v>
      </c>
      <c r="K52" s="97">
        <f t="shared" si="17"/>
        <v>0.60000000000000009</v>
      </c>
      <c r="L52" s="98">
        <v>1.32E-2</v>
      </c>
      <c r="M52" s="97">
        <f t="shared" si="11"/>
        <v>2</v>
      </c>
      <c r="N52" s="97">
        <v>0.25</v>
      </c>
      <c r="O52" s="97">
        <f t="shared" si="18"/>
        <v>0.5</v>
      </c>
      <c r="P52" s="98">
        <v>0.1978</v>
      </c>
      <c r="Q52" s="97">
        <f t="shared" si="12"/>
        <v>1</v>
      </c>
      <c r="R52" s="97">
        <v>0.15</v>
      </c>
      <c r="S52" s="97">
        <f t="shared" si="19"/>
        <v>0.15</v>
      </c>
      <c r="T52" s="99">
        <v>2</v>
      </c>
      <c r="U52" s="97">
        <f t="shared" si="13"/>
        <v>11</v>
      </c>
      <c r="V52" s="97">
        <v>0.1</v>
      </c>
      <c r="W52" s="119">
        <f t="shared" si="20"/>
        <v>1.1000000000000001</v>
      </c>
      <c r="X52" s="130">
        <f t="shared" si="14"/>
        <v>2.65</v>
      </c>
      <c r="Y52" s="126">
        <f t="shared" si="15"/>
        <v>1</v>
      </c>
    </row>
    <row r="53" spans="2:25" x14ac:dyDescent="0.35">
      <c r="B53" s="313"/>
      <c r="C53" s="101" t="s">
        <v>13</v>
      </c>
      <c r="D53" s="56">
        <v>2.1700000000000001E-2</v>
      </c>
      <c r="E53" s="66">
        <f t="shared" si="9"/>
        <v>8</v>
      </c>
      <c r="F53" s="66">
        <v>0.3</v>
      </c>
      <c r="G53" s="66">
        <f t="shared" si="16"/>
        <v>2.4</v>
      </c>
      <c r="H53" s="57">
        <v>0.03</v>
      </c>
      <c r="I53" s="66">
        <f t="shared" si="10"/>
        <v>4</v>
      </c>
      <c r="J53" s="66">
        <v>0.2</v>
      </c>
      <c r="K53" s="66">
        <f t="shared" si="17"/>
        <v>0.8</v>
      </c>
      <c r="L53" s="57">
        <v>7.9000000000000008E-3</v>
      </c>
      <c r="M53" s="66">
        <f t="shared" si="11"/>
        <v>10</v>
      </c>
      <c r="N53" s="66">
        <v>0.25</v>
      </c>
      <c r="O53" s="66">
        <f t="shared" si="18"/>
        <v>2.5</v>
      </c>
      <c r="P53" s="57">
        <v>0.18609999999999999</v>
      </c>
      <c r="Q53" s="66">
        <f t="shared" si="12"/>
        <v>2</v>
      </c>
      <c r="R53" s="66">
        <v>0.15</v>
      </c>
      <c r="S53" s="66">
        <f t="shared" si="19"/>
        <v>0.3</v>
      </c>
      <c r="T53" s="89">
        <v>1.22</v>
      </c>
      <c r="U53" s="66">
        <f t="shared" si="13"/>
        <v>6</v>
      </c>
      <c r="V53" s="66">
        <v>0.1</v>
      </c>
      <c r="W53" s="118">
        <f t="shared" si="20"/>
        <v>0.60000000000000009</v>
      </c>
      <c r="X53" s="125">
        <f t="shared" si="14"/>
        <v>6.6</v>
      </c>
      <c r="Y53" s="125">
        <f t="shared" si="15"/>
        <v>7</v>
      </c>
    </row>
    <row r="54" spans="2:25" ht="16" thickBot="1" x14ac:dyDescent="0.4">
      <c r="B54" s="314"/>
      <c r="C54" s="101" t="s">
        <v>14</v>
      </c>
      <c r="D54" s="56">
        <v>2.5999999999999999E-2</v>
      </c>
      <c r="E54" s="66">
        <f t="shared" si="9"/>
        <v>9</v>
      </c>
      <c r="F54" s="66">
        <v>0.3</v>
      </c>
      <c r="G54" s="66">
        <f t="shared" si="16"/>
        <v>2.6999999999999997</v>
      </c>
      <c r="H54" s="57">
        <v>2.9000000000000001E-2</v>
      </c>
      <c r="I54" s="66">
        <f t="shared" si="10"/>
        <v>6</v>
      </c>
      <c r="J54" s="66">
        <v>0.2</v>
      </c>
      <c r="K54" s="66">
        <f t="shared" si="17"/>
        <v>1.2000000000000002</v>
      </c>
      <c r="L54" s="57">
        <v>7.9000000000000008E-3</v>
      </c>
      <c r="M54" s="66">
        <f t="shared" si="11"/>
        <v>10</v>
      </c>
      <c r="N54" s="66">
        <v>0.25</v>
      </c>
      <c r="O54" s="66">
        <f t="shared" si="18"/>
        <v>2.5</v>
      </c>
      <c r="P54" s="57">
        <v>0.16830000000000001</v>
      </c>
      <c r="Q54" s="66">
        <f t="shared" si="12"/>
        <v>8</v>
      </c>
      <c r="R54" s="66">
        <v>0.15</v>
      </c>
      <c r="S54" s="66">
        <f t="shared" si="19"/>
        <v>1.2</v>
      </c>
      <c r="T54" s="89">
        <v>1.49</v>
      </c>
      <c r="U54" s="66">
        <f t="shared" si="13"/>
        <v>7</v>
      </c>
      <c r="V54" s="66">
        <v>0.1</v>
      </c>
      <c r="W54" s="118">
        <f t="shared" si="20"/>
        <v>0.70000000000000007</v>
      </c>
      <c r="X54" s="125">
        <f t="shared" si="14"/>
        <v>8.3000000000000007</v>
      </c>
      <c r="Y54" s="125">
        <f t="shared" si="15"/>
        <v>9</v>
      </c>
    </row>
    <row r="55" spans="2:25" x14ac:dyDescent="0.35">
      <c r="B55" s="313" t="s">
        <v>65</v>
      </c>
      <c r="C55" s="101" t="s">
        <v>4</v>
      </c>
      <c r="D55" s="56">
        <v>1.89E-2</v>
      </c>
      <c r="E55" s="66">
        <f t="shared" si="9"/>
        <v>5</v>
      </c>
      <c r="F55" s="66">
        <v>0.3</v>
      </c>
      <c r="G55" s="66">
        <f t="shared" si="16"/>
        <v>1.5</v>
      </c>
      <c r="H55" s="57">
        <v>2.8899999999999999E-2</v>
      </c>
      <c r="I55" s="66">
        <f t="shared" si="10"/>
        <v>8</v>
      </c>
      <c r="J55" s="66">
        <v>0.2</v>
      </c>
      <c r="K55" s="66">
        <f t="shared" si="17"/>
        <v>1.6</v>
      </c>
      <c r="L55" s="57">
        <v>1.06E-2</v>
      </c>
      <c r="M55" s="66">
        <f t="shared" si="11"/>
        <v>4</v>
      </c>
      <c r="N55" s="66">
        <v>0.25</v>
      </c>
      <c r="O55" s="66">
        <f t="shared" si="18"/>
        <v>1</v>
      </c>
      <c r="P55" s="57">
        <v>0.15820000000000001</v>
      </c>
      <c r="Q55" s="66">
        <f t="shared" si="12"/>
        <v>11</v>
      </c>
      <c r="R55" s="66">
        <v>0.15</v>
      </c>
      <c r="S55" s="66">
        <f t="shared" si="19"/>
        <v>1.65</v>
      </c>
      <c r="T55" s="89">
        <v>1.05</v>
      </c>
      <c r="U55" s="66">
        <f t="shared" si="13"/>
        <v>4</v>
      </c>
      <c r="V55" s="66">
        <v>0.1</v>
      </c>
      <c r="W55" s="118">
        <f t="shared" si="20"/>
        <v>0.4</v>
      </c>
      <c r="X55" s="125">
        <f t="shared" si="14"/>
        <v>6.15</v>
      </c>
      <c r="Y55" s="125">
        <f t="shared" si="15"/>
        <v>5</v>
      </c>
    </row>
    <row r="56" spans="2:25" x14ac:dyDescent="0.35">
      <c r="B56" s="313"/>
      <c r="C56" s="103" t="s">
        <v>5</v>
      </c>
      <c r="D56" s="104">
        <v>3.0599999999999999E-2</v>
      </c>
      <c r="E56" s="105">
        <f t="shared" si="9"/>
        <v>12</v>
      </c>
      <c r="F56" s="105">
        <v>0.3</v>
      </c>
      <c r="G56" s="105">
        <f t="shared" si="16"/>
        <v>3.5999999999999996</v>
      </c>
      <c r="H56" s="106">
        <v>2.7E-2</v>
      </c>
      <c r="I56" s="105">
        <f t="shared" si="10"/>
        <v>10</v>
      </c>
      <c r="J56" s="105">
        <v>0.2</v>
      </c>
      <c r="K56" s="105">
        <f t="shared" si="17"/>
        <v>2</v>
      </c>
      <c r="L56" s="106">
        <v>1.01E-2</v>
      </c>
      <c r="M56" s="105">
        <f t="shared" si="11"/>
        <v>7</v>
      </c>
      <c r="N56" s="105">
        <v>0.25</v>
      </c>
      <c r="O56" s="105">
        <f t="shared" si="18"/>
        <v>1.75</v>
      </c>
      <c r="P56" s="106">
        <v>0.16200000000000001</v>
      </c>
      <c r="Q56" s="105">
        <f t="shared" si="12"/>
        <v>10</v>
      </c>
      <c r="R56" s="105">
        <v>0.15</v>
      </c>
      <c r="S56" s="105">
        <f t="shared" si="19"/>
        <v>1.5</v>
      </c>
      <c r="T56" s="107">
        <v>1.08</v>
      </c>
      <c r="U56" s="105">
        <f t="shared" si="13"/>
        <v>5</v>
      </c>
      <c r="V56" s="105">
        <v>0.1</v>
      </c>
      <c r="W56" s="120">
        <f t="shared" si="20"/>
        <v>0.5</v>
      </c>
      <c r="X56" s="127">
        <f t="shared" si="14"/>
        <v>9.35</v>
      </c>
      <c r="Y56" s="127">
        <f t="shared" si="15"/>
        <v>12</v>
      </c>
    </row>
    <row r="57" spans="2:25" x14ac:dyDescent="0.35">
      <c r="B57" s="313"/>
      <c r="C57" s="101" t="s">
        <v>6</v>
      </c>
      <c r="D57" s="56">
        <v>2.9499999999999998E-2</v>
      </c>
      <c r="E57" s="66">
        <f t="shared" si="9"/>
        <v>11</v>
      </c>
      <c r="F57" s="66">
        <v>0.3</v>
      </c>
      <c r="G57" s="66">
        <f t="shared" si="16"/>
        <v>3.3</v>
      </c>
      <c r="H57" s="57">
        <v>2.5700000000000001E-2</v>
      </c>
      <c r="I57" s="66">
        <f t="shared" si="10"/>
        <v>11</v>
      </c>
      <c r="J57" s="66">
        <v>0.2</v>
      </c>
      <c r="K57" s="66">
        <f t="shared" si="17"/>
        <v>2.2000000000000002</v>
      </c>
      <c r="L57" s="57">
        <v>8.8999999999999999E-3</v>
      </c>
      <c r="M57" s="66">
        <f t="shared" si="11"/>
        <v>8</v>
      </c>
      <c r="N57" s="66">
        <v>0.25</v>
      </c>
      <c r="O57" s="66">
        <f t="shared" si="18"/>
        <v>2</v>
      </c>
      <c r="P57" s="57">
        <v>0.1774</v>
      </c>
      <c r="Q57" s="66">
        <f t="shared" si="12"/>
        <v>6</v>
      </c>
      <c r="R57" s="66">
        <v>0.15</v>
      </c>
      <c r="S57" s="66">
        <f t="shared" si="19"/>
        <v>0.89999999999999991</v>
      </c>
      <c r="T57" s="89">
        <v>0.84</v>
      </c>
      <c r="U57" s="66">
        <f t="shared" si="13"/>
        <v>1</v>
      </c>
      <c r="V57" s="66">
        <v>0.1</v>
      </c>
      <c r="W57" s="118">
        <f t="shared" si="20"/>
        <v>0.1</v>
      </c>
      <c r="X57" s="125">
        <f t="shared" si="14"/>
        <v>8.5</v>
      </c>
      <c r="Y57" s="125">
        <f t="shared" si="15"/>
        <v>11</v>
      </c>
    </row>
    <row r="58" spans="2:25" x14ac:dyDescent="0.35">
      <c r="B58" s="313"/>
      <c r="C58" s="101" t="s">
        <v>7</v>
      </c>
      <c r="D58" s="56">
        <v>1.84E-2</v>
      </c>
      <c r="E58" s="66">
        <f t="shared" si="9"/>
        <v>4</v>
      </c>
      <c r="F58" s="66">
        <v>0.3</v>
      </c>
      <c r="G58" s="66">
        <f t="shared" si="16"/>
        <v>1.2</v>
      </c>
      <c r="H58" s="57">
        <v>2.5100000000000001E-2</v>
      </c>
      <c r="I58" s="66">
        <f t="shared" si="10"/>
        <v>12</v>
      </c>
      <c r="J58" s="66">
        <v>0.2</v>
      </c>
      <c r="K58" s="66">
        <f t="shared" si="17"/>
        <v>2.4000000000000004</v>
      </c>
      <c r="L58" s="57">
        <v>1.0200000000000001E-2</v>
      </c>
      <c r="M58" s="66">
        <f t="shared" si="11"/>
        <v>6</v>
      </c>
      <c r="N58" s="66">
        <v>0.25</v>
      </c>
      <c r="O58" s="66">
        <f t="shared" si="18"/>
        <v>1.5</v>
      </c>
      <c r="P58" s="57">
        <v>0.1704</v>
      </c>
      <c r="Q58" s="66">
        <f t="shared" si="12"/>
        <v>7</v>
      </c>
      <c r="R58" s="66">
        <v>0.15</v>
      </c>
      <c r="S58" s="66">
        <f t="shared" si="19"/>
        <v>1.05</v>
      </c>
      <c r="T58" s="89">
        <v>0.87</v>
      </c>
      <c r="U58" s="66">
        <f t="shared" si="13"/>
        <v>3</v>
      </c>
      <c r="V58" s="66">
        <v>0.1</v>
      </c>
      <c r="W58" s="118">
        <f t="shared" si="20"/>
        <v>0.30000000000000004</v>
      </c>
      <c r="X58" s="125">
        <f t="shared" si="14"/>
        <v>6.45</v>
      </c>
      <c r="Y58" s="125">
        <f t="shared" si="15"/>
        <v>6</v>
      </c>
    </row>
    <row r="59" spans="2:25" x14ac:dyDescent="0.35">
      <c r="B59" s="313"/>
      <c r="C59" s="101" t="s">
        <v>9</v>
      </c>
      <c r="D59" s="56">
        <v>1.9800000000000002E-2</v>
      </c>
      <c r="E59" s="66">
        <f t="shared" si="9"/>
        <v>6</v>
      </c>
      <c r="F59" s="66">
        <v>0.3</v>
      </c>
      <c r="G59" s="66">
        <f t="shared" si="16"/>
        <v>1.7999999999999998</v>
      </c>
      <c r="H59" s="57">
        <v>2.8000000000000001E-2</v>
      </c>
      <c r="I59" s="66">
        <f t="shared" si="10"/>
        <v>9</v>
      </c>
      <c r="J59" s="66">
        <v>0.2</v>
      </c>
      <c r="K59" s="66">
        <f t="shared" si="17"/>
        <v>1.8</v>
      </c>
      <c r="L59" s="57">
        <v>8.5000000000000006E-3</v>
      </c>
      <c r="M59" s="66">
        <f t="shared" si="11"/>
        <v>9</v>
      </c>
      <c r="N59" s="66">
        <v>0.25</v>
      </c>
      <c r="O59" s="66">
        <f t="shared" si="18"/>
        <v>2.25</v>
      </c>
      <c r="P59" s="57">
        <v>0.18010000000000001</v>
      </c>
      <c r="Q59" s="66">
        <f t="shared" si="12"/>
        <v>4</v>
      </c>
      <c r="R59" s="66">
        <v>0.15</v>
      </c>
      <c r="S59" s="66">
        <f t="shared" si="19"/>
        <v>0.6</v>
      </c>
      <c r="T59" s="89">
        <v>0.85</v>
      </c>
      <c r="U59" s="66">
        <f t="shared" si="13"/>
        <v>2</v>
      </c>
      <c r="V59" s="66">
        <v>0.1</v>
      </c>
      <c r="W59" s="118">
        <f t="shared" si="20"/>
        <v>0.2</v>
      </c>
      <c r="X59" s="125">
        <f t="shared" si="14"/>
        <v>6.6499999999999995</v>
      </c>
      <c r="Y59" s="125">
        <f t="shared" si="15"/>
        <v>8</v>
      </c>
    </row>
    <row r="60" spans="2:25" x14ac:dyDescent="0.35">
      <c r="B60" s="313"/>
      <c r="C60" s="101" t="s">
        <v>11</v>
      </c>
      <c r="D60" s="56">
        <v>1.4500000000000001E-2</v>
      </c>
      <c r="E60" s="66">
        <f t="shared" si="9"/>
        <v>2</v>
      </c>
      <c r="F60" s="66">
        <v>0.3</v>
      </c>
      <c r="G60" s="66">
        <f t="shared" si="16"/>
        <v>0.6</v>
      </c>
      <c r="H60" s="57">
        <v>3.9E-2</v>
      </c>
      <c r="I60" s="66">
        <f t="shared" si="10"/>
        <v>1</v>
      </c>
      <c r="J60" s="66">
        <v>0.2</v>
      </c>
      <c r="K60" s="66">
        <f t="shared" si="17"/>
        <v>0.2</v>
      </c>
      <c r="L60" s="57">
        <v>1.8599999999999998E-2</v>
      </c>
      <c r="M60" s="66">
        <f t="shared" si="11"/>
        <v>1</v>
      </c>
      <c r="N60" s="66">
        <v>0.25</v>
      </c>
      <c r="O60" s="66">
        <f t="shared" si="18"/>
        <v>0.25</v>
      </c>
      <c r="P60" s="57">
        <v>0.18360000000000001</v>
      </c>
      <c r="Q60" s="66">
        <f t="shared" si="12"/>
        <v>3</v>
      </c>
      <c r="R60" s="92">
        <v>0.15</v>
      </c>
      <c r="S60" s="92">
        <f t="shared" si="19"/>
        <v>0.44999999999999996</v>
      </c>
      <c r="T60" s="89">
        <v>2.5</v>
      </c>
      <c r="U60" s="92">
        <f t="shared" si="13"/>
        <v>12</v>
      </c>
      <c r="V60" s="92">
        <v>0.1</v>
      </c>
      <c r="W60" s="121">
        <f t="shared" si="20"/>
        <v>1.2000000000000002</v>
      </c>
      <c r="X60" s="128">
        <f t="shared" si="14"/>
        <v>2.7</v>
      </c>
      <c r="Y60" s="128">
        <f t="shared" si="15"/>
        <v>2</v>
      </c>
    </row>
    <row r="61" spans="2:25" ht="16" thickBot="1" x14ac:dyDescent="0.4">
      <c r="B61" s="314"/>
      <c r="C61" s="102" t="s">
        <v>12</v>
      </c>
      <c r="D61" s="59">
        <v>2.5999999999999999E-2</v>
      </c>
      <c r="E61" s="67">
        <f t="shared" si="9"/>
        <v>9</v>
      </c>
      <c r="F61" s="67">
        <v>0.3</v>
      </c>
      <c r="G61" s="67">
        <f t="shared" si="16"/>
        <v>2.6999999999999997</v>
      </c>
      <c r="H61" s="60">
        <v>2.9000000000000001E-2</v>
      </c>
      <c r="I61" s="67">
        <f t="shared" si="10"/>
        <v>6</v>
      </c>
      <c r="J61" s="91">
        <v>0.2</v>
      </c>
      <c r="K61" s="67">
        <f t="shared" si="17"/>
        <v>1.2000000000000002</v>
      </c>
      <c r="L61" s="60">
        <v>7.9000000000000008E-3</v>
      </c>
      <c r="M61" s="67">
        <f t="shared" si="11"/>
        <v>10</v>
      </c>
      <c r="N61" s="67">
        <v>0.25</v>
      </c>
      <c r="O61" s="67">
        <f t="shared" si="18"/>
        <v>2.5</v>
      </c>
      <c r="P61" s="60">
        <v>0.16830000000000001</v>
      </c>
      <c r="Q61" s="67">
        <f t="shared" si="12"/>
        <v>8</v>
      </c>
      <c r="R61" s="91">
        <v>0.15</v>
      </c>
      <c r="S61" s="93">
        <f t="shared" si="19"/>
        <v>1.2</v>
      </c>
      <c r="T61" s="90">
        <v>1.49</v>
      </c>
      <c r="U61" s="93">
        <f t="shared" si="13"/>
        <v>7</v>
      </c>
      <c r="V61" s="93">
        <v>0.1</v>
      </c>
      <c r="W61" s="122">
        <f t="shared" si="20"/>
        <v>0.70000000000000007</v>
      </c>
      <c r="X61" s="129">
        <f t="shared" si="14"/>
        <v>8.3000000000000007</v>
      </c>
      <c r="Y61" s="129">
        <f t="shared" si="15"/>
        <v>9</v>
      </c>
    </row>
    <row r="70" spans="17:29" ht="25" x14ac:dyDescent="0.35">
      <c r="AB70" s="153"/>
      <c r="AC70" s="153"/>
    </row>
    <row r="76" spans="17:29" x14ac:dyDescent="0.35">
      <c r="Q76" s="40" t="s">
        <v>108</v>
      </c>
    </row>
  </sheetData>
  <mergeCells count="18">
    <mergeCell ref="D24:O24"/>
    <mergeCell ref="B22:O22"/>
    <mergeCell ref="C4:H4"/>
    <mergeCell ref="M6:N6"/>
    <mergeCell ref="P6:Q6"/>
    <mergeCell ref="J4:S4"/>
    <mergeCell ref="B26:B30"/>
    <mergeCell ref="B31:B37"/>
    <mergeCell ref="B55:B61"/>
    <mergeCell ref="B50:B54"/>
    <mergeCell ref="B45:Y45"/>
    <mergeCell ref="D47:Y47"/>
    <mergeCell ref="C48:C49"/>
    <mergeCell ref="D48:G48"/>
    <mergeCell ref="H48:K48"/>
    <mergeCell ref="L48:O48"/>
    <mergeCell ref="P48:S48"/>
    <mergeCell ref="T48:W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0252-24E1-4D9E-BFBC-5CD2995B6D22}">
  <dimension ref="B2:DM46"/>
  <sheetViews>
    <sheetView zoomScale="69" zoomScaleNormal="71" workbookViewId="0">
      <pane xSplit="3" topLeftCell="D1" activePane="topRight" state="frozen"/>
      <selection pane="topRight"/>
    </sheetView>
  </sheetViews>
  <sheetFormatPr defaultRowHeight="14.5" x14ac:dyDescent="0.35"/>
  <cols>
    <col min="1" max="1" width="9.26953125" customWidth="1"/>
    <col min="2" max="2" width="6.1796875" bestFit="1" customWidth="1"/>
    <col min="3" max="3" width="30" bestFit="1" customWidth="1"/>
    <col min="4" max="4" width="8.26953125" bestFit="1" customWidth="1"/>
    <col min="5" max="5" width="14.90625" bestFit="1" customWidth="1"/>
    <col min="6" max="6" width="20" bestFit="1" customWidth="1"/>
    <col min="7" max="7" width="12.54296875" bestFit="1" customWidth="1"/>
    <col min="8" max="8" width="14.90625" bestFit="1" customWidth="1"/>
    <col min="9" max="9" width="13.36328125" bestFit="1" customWidth="1"/>
    <col min="10" max="10" width="8.26953125" bestFit="1" customWidth="1"/>
    <col min="11" max="11" width="14.90625" bestFit="1" customWidth="1"/>
    <col min="12" max="12" width="13.36328125" bestFit="1" customWidth="1"/>
    <col min="13" max="13" width="8.26953125" bestFit="1" customWidth="1"/>
    <col min="14" max="14" width="14.90625" bestFit="1" customWidth="1"/>
    <col min="15" max="15" width="13.36328125" bestFit="1" customWidth="1"/>
    <col min="16" max="16" width="8.26953125" bestFit="1" customWidth="1"/>
    <col min="17" max="17" width="14.90625" bestFit="1" customWidth="1"/>
    <col min="18" max="18" width="13.36328125" bestFit="1" customWidth="1"/>
    <col min="19" max="19" width="8.26953125" bestFit="1" customWidth="1"/>
    <col min="20" max="20" width="14.90625" bestFit="1" customWidth="1"/>
    <col min="21" max="21" width="13.54296875" bestFit="1" customWidth="1"/>
    <col min="22" max="22" width="8.26953125" bestFit="1" customWidth="1"/>
    <col min="23" max="23" width="14.90625" bestFit="1" customWidth="1"/>
    <col min="24" max="24" width="13.36328125" bestFit="1" customWidth="1"/>
    <col min="25" max="25" width="8.26953125" bestFit="1" customWidth="1"/>
    <col min="26" max="26" width="14.90625" bestFit="1" customWidth="1"/>
    <col min="27" max="27" width="13.36328125" bestFit="1" customWidth="1"/>
    <col min="28" max="28" width="7.6328125" bestFit="1" customWidth="1"/>
    <col min="29" max="29" width="14.90625" bestFit="1" customWidth="1"/>
    <col min="30" max="30" width="13.36328125" bestFit="1" customWidth="1"/>
    <col min="31" max="31" width="8.26953125" bestFit="1" customWidth="1"/>
    <col min="32" max="32" width="14.90625" bestFit="1" customWidth="1"/>
    <col min="33" max="33" width="13.36328125" bestFit="1" customWidth="1"/>
    <col min="34" max="34" width="8.26953125" bestFit="1" customWidth="1"/>
    <col min="35" max="35" width="14.90625" bestFit="1" customWidth="1"/>
    <col min="36" max="36" width="13.54296875" bestFit="1" customWidth="1"/>
    <col min="37" max="37" width="8.26953125" bestFit="1" customWidth="1"/>
    <col min="38" max="38" width="14.90625" bestFit="1" customWidth="1"/>
    <col min="39" max="39" width="13.36328125" bestFit="1" customWidth="1"/>
    <col min="40" max="40" width="8.26953125" bestFit="1" customWidth="1"/>
    <col min="41" max="41" width="14.90625" bestFit="1" customWidth="1"/>
    <col min="42" max="42" width="13.36328125" bestFit="1" customWidth="1"/>
    <col min="43" max="43" width="8.26953125" bestFit="1" customWidth="1"/>
    <col min="44" max="44" width="14.90625" bestFit="1" customWidth="1"/>
    <col min="45" max="45" width="13.36328125" bestFit="1" customWidth="1"/>
    <col min="46" max="46" width="8.26953125" bestFit="1" customWidth="1"/>
    <col min="47" max="47" width="14.90625" bestFit="1" customWidth="1"/>
    <col min="48" max="48" width="13.36328125" bestFit="1" customWidth="1"/>
    <col min="49" max="49" width="8.26953125" bestFit="1" customWidth="1"/>
    <col min="50" max="50" width="14.90625" bestFit="1" customWidth="1"/>
    <col min="51" max="51" width="13.54296875" bestFit="1" customWidth="1"/>
    <col min="52" max="52" width="9.453125" bestFit="1" customWidth="1"/>
    <col min="53" max="53" width="14.90625" bestFit="1" customWidth="1"/>
    <col min="54" max="54" width="13.54296875" bestFit="1" customWidth="1"/>
    <col min="55" max="55" width="8.26953125" bestFit="1" customWidth="1"/>
    <col min="56" max="56" width="14.90625" bestFit="1" customWidth="1"/>
    <col min="57" max="57" width="13.36328125" bestFit="1" customWidth="1"/>
    <col min="58" max="58" width="9.453125" bestFit="1" customWidth="1"/>
    <col min="59" max="59" width="14.90625" bestFit="1" customWidth="1"/>
    <col min="60" max="60" width="13.54296875" bestFit="1" customWidth="1"/>
    <col min="61" max="61" width="9.453125" bestFit="1" customWidth="1"/>
    <col min="62" max="62" width="14.90625" bestFit="1" customWidth="1"/>
    <col min="63" max="63" width="13.54296875" bestFit="1" customWidth="1"/>
    <col min="64" max="64" width="8.26953125" bestFit="1" customWidth="1"/>
    <col min="65" max="65" width="14.90625" bestFit="1" customWidth="1"/>
    <col min="66" max="66" width="13.54296875" bestFit="1" customWidth="1"/>
    <col min="67" max="67" width="8.26953125" bestFit="1" customWidth="1"/>
    <col min="68" max="68" width="14.90625" bestFit="1" customWidth="1"/>
    <col min="69" max="69" width="13.54296875" bestFit="1" customWidth="1"/>
    <col min="70" max="70" width="8.26953125" bestFit="1" customWidth="1"/>
    <col min="71" max="71" width="14.90625" bestFit="1" customWidth="1"/>
    <col min="72" max="72" width="13.54296875" bestFit="1" customWidth="1"/>
    <col min="73" max="73" width="8.26953125" bestFit="1" customWidth="1"/>
    <col min="74" max="74" width="14.90625" bestFit="1" customWidth="1"/>
    <col min="75" max="75" width="13.54296875" bestFit="1" customWidth="1"/>
    <col min="76" max="76" width="8.81640625" bestFit="1" customWidth="1"/>
    <col min="77" max="77" width="10.453125" bestFit="1" customWidth="1"/>
    <col min="78" max="78" width="13.54296875" bestFit="1" customWidth="1"/>
    <col min="79" max="79" width="8.26953125" bestFit="1" customWidth="1"/>
    <col min="80" max="80" width="10.453125" bestFit="1" customWidth="1"/>
    <col min="81" max="81" width="13.54296875" bestFit="1" customWidth="1"/>
    <col min="82" max="82" width="8.26953125" bestFit="1" customWidth="1"/>
    <col min="83" max="83" width="10.453125" bestFit="1" customWidth="1"/>
    <col min="84" max="84" width="13.54296875" bestFit="1" customWidth="1"/>
    <col min="85" max="85" width="8.26953125" bestFit="1" customWidth="1"/>
    <col min="86" max="86" width="10.453125" bestFit="1" customWidth="1"/>
    <col min="87" max="87" width="13.54296875" bestFit="1" customWidth="1"/>
    <col min="88" max="88" width="8.26953125" bestFit="1" customWidth="1"/>
    <col min="89" max="89" width="10.453125" bestFit="1" customWidth="1"/>
    <col min="90" max="90" width="13.54296875" bestFit="1" customWidth="1"/>
    <col min="91" max="91" width="8.26953125" bestFit="1" customWidth="1"/>
    <col min="92" max="92" width="10.453125" bestFit="1" customWidth="1"/>
    <col min="93" max="93" width="13.54296875" bestFit="1" customWidth="1"/>
    <col min="94" max="94" width="8.26953125" bestFit="1" customWidth="1"/>
    <col min="95" max="95" width="10.453125" bestFit="1" customWidth="1"/>
    <col min="96" max="96" width="13.54296875" bestFit="1" customWidth="1"/>
    <col min="97" max="97" width="8.26953125" bestFit="1" customWidth="1"/>
    <col min="98" max="98" width="10.453125" bestFit="1" customWidth="1"/>
    <col min="99" max="99" width="13.54296875" bestFit="1" customWidth="1"/>
    <col min="100" max="100" width="8.26953125" bestFit="1" customWidth="1"/>
    <col min="101" max="101" width="10.453125" bestFit="1" customWidth="1"/>
    <col min="102" max="102" width="13.54296875" bestFit="1" customWidth="1"/>
    <col min="103" max="103" width="8.26953125" bestFit="1" customWidth="1"/>
    <col min="104" max="104" width="14.90625" bestFit="1" customWidth="1"/>
    <col min="105" max="105" width="13.54296875" bestFit="1" customWidth="1"/>
    <col min="106" max="106" width="8.26953125" bestFit="1" customWidth="1"/>
    <col min="107" max="107" width="14.90625" bestFit="1" customWidth="1"/>
    <col min="108" max="108" width="13.36328125" bestFit="1" customWidth="1"/>
    <col min="109" max="109" width="8.26953125" bestFit="1" customWidth="1"/>
    <col min="110" max="110" width="14.90625" bestFit="1" customWidth="1"/>
    <col min="111" max="111" width="13.36328125" bestFit="1" customWidth="1"/>
    <col min="112" max="112" width="8.26953125" bestFit="1" customWidth="1"/>
    <col min="113" max="113" width="14.90625" bestFit="1" customWidth="1"/>
    <col min="114" max="114" width="13.36328125" bestFit="1" customWidth="1"/>
    <col min="115" max="115" width="8.26953125" bestFit="1" customWidth="1"/>
    <col min="116" max="116" width="14.90625" bestFit="1" customWidth="1"/>
    <col min="117" max="117" width="13.54296875" bestFit="1" customWidth="1"/>
  </cols>
  <sheetData>
    <row r="2" spans="2:13" ht="15" thickBot="1" x14ac:dyDescent="0.4"/>
    <row r="3" spans="2:13" ht="30" x14ac:dyDescent="0.35">
      <c r="B3" s="352" t="s">
        <v>202</v>
      </c>
      <c r="C3" s="353"/>
      <c r="D3" s="353"/>
      <c r="E3" s="353"/>
      <c r="F3" s="353"/>
      <c r="G3" s="354"/>
      <c r="H3" s="40"/>
      <c r="I3" s="40"/>
      <c r="J3" s="40"/>
      <c r="K3" s="40"/>
      <c r="L3" s="40"/>
      <c r="M3" s="40"/>
    </row>
    <row r="4" spans="2:13" ht="15.5" customHeight="1" x14ac:dyDescent="0.35">
      <c r="B4" s="342" t="s">
        <v>93</v>
      </c>
      <c r="C4" s="343"/>
      <c r="D4" s="355" t="s">
        <v>43</v>
      </c>
      <c r="E4" s="355" t="s">
        <v>94</v>
      </c>
      <c r="F4" s="355" t="s">
        <v>95</v>
      </c>
      <c r="G4" s="357" t="s">
        <v>97</v>
      </c>
      <c r="H4" s="40"/>
      <c r="I4" s="40"/>
      <c r="J4" s="40"/>
      <c r="K4" s="40"/>
      <c r="L4" s="40"/>
      <c r="M4" s="40"/>
    </row>
    <row r="5" spans="2:13" ht="15.5" customHeight="1" x14ac:dyDescent="0.35">
      <c r="B5" s="344"/>
      <c r="C5" s="345"/>
      <c r="D5" s="356"/>
      <c r="E5" s="356"/>
      <c r="F5" s="356"/>
      <c r="G5" s="358"/>
      <c r="H5" s="40"/>
      <c r="I5" s="40"/>
      <c r="J5" s="40"/>
      <c r="K5" s="40"/>
      <c r="L5" s="40"/>
      <c r="M5" s="40"/>
    </row>
    <row r="6" spans="2:13" ht="18" x14ac:dyDescent="0.4">
      <c r="B6" s="275">
        <v>1</v>
      </c>
      <c r="C6" s="141" t="s">
        <v>10</v>
      </c>
      <c r="D6" s="142">
        <v>33.82</v>
      </c>
      <c r="E6" s="139">
        <f t="shared" ref="E6:E17" si="0">F6/D6</f>
        <v>443524.54169130692</v>
      </c>
      <c r="F6" s="140">
        <f t="shared" ref="F6:F17" si="1">$F$19*G6</f>
        <v>15000000</v>
      </c>
      <c r="G6" s="145">
        <v>0.15</v>
      </c>
      <c r="H6" s="40"/>
      <c r="I6" s="40"/>
      <c r="J6" s="40"/>
      <c r="K6" s="40"/>
      <c r="L6" s="40"/>
      <c r="M6" s="40"/>
    </row>
    <row r="7" spans="2:13" ht="18" x14ac:dyDescent="0.4">
      <c r="B7" s="275">
        <v>2</v>
      </c>
      <c r="C7" s="141" t="s">
        <v>11</v>
      </c>
      <c r="D7" s="142">
        <v>78.5</v>
      </c>
      <c r="E7" s="139">
        <f t="shared" si="0"/>
        <v>165605.09554140127</v>
      </c>
      <c r="F7" s="140">
        <f t="shared" si="1"/>
        <v>13000000</v>
      </c>
      <c r="G7" s="145">
        <v>0.13</v>
      </c>
      <c r="H7" s="40"/>
      <c r="I7" s="40"/>
      <c r="J7" s="40"/>
      <c r="K7" s="40"/>
      <c r="L7" s="40"/>
      <c r="M7" s="40"/>
    </row>
    <row r="8" spans="2:13" ht="18" x14ac:dyDescent="0.4">
      <c r="B8" s="275">
        <v>3</v>
      </c>
      <c r="C8" s="141" t="s">
        <v>8</v>
      </c>
      <c r="D8" s="142">
        <v>831.75</v>
      </c>
      <c r="E8" s="139">
        <f t="shared" si="0"/>
        <v>13225.127742711151</v>
      </c>
      <c r="F8" s="140">
        <f t="shared" si="1"/>
        <v>11000000</v>
      </c>
      <c r="G8" s="145">
        <v>0.11</v>
      </c>
      <c r="H8" s="40"/>
      <c r="I8" s="40"/>
      <c r="J8" s="40"/>
      <c r="K8" s="40"/>
      <c r="L8" s="40"/>
      <c r="M8" s="40"/>
    </row>
    <row r="9" spans="2:13" ht="18" x14ac:dyDescent="0.4">
      <c r="B9" s="275">
        <v>4</v>
      </c>
      <c r="C9" s="141" t="s">
        <v>3</v>
      </c>
      <c r="D9" s="142">
        <v>979.9</v>
      </c>
      <c r="E9" s="139">
        <f t="shared" si="0"/>
        <v>10205.122971731809</v>
      </c>
      <c r="F9" s="140">
        <f t="shared" si="1"/>
        <v>10000000</v>
      </c>
      <c r="G9" s="145">
        <v>0.1</v>
      </c>
      <c r="H9" s="40"/>
      <c r="I9" s="40"/>
      <c r="J9" s="40"/>
      <c r="K9" s="40"/>
      <c r="L9" s="40"/>
      <c r="M9" s="40"/>
    </row>
    <row r="10" spans="2:13" ht="18" x14ac:dyDescent="0.4">
      <c r="B10" s="275">
        <v>5</v>
      </c>
      <c r="C10" s="141" t="s">
        <v>4</v>
      </c>
      <c r="D10" s="142">
        <v>267.8</v>
      </c>
      <c r="E10" s="139">
        <f t="shared" si="0"/>
        <v>33607.169529499624</v>
      </c>
      <c r="F10" s="140">
        <f t="shared" si="1"/>
        <v>9000000</v>
      </c>
      <c r="G10" s="145">
        <v>0.09</v>
      </c>
      <c r="H10" s="40"/>
      <c r="I10" s="40"/>
      <c r="J10" s="40"/>
      <c r="K10" s="40"/>
      <c r="L10" s="40"/>
      <c r="M10" s="40"/>
    </row>
    <row r="11" spans="2:13" ht="18" x14ac:dyDescent="0.4">
      <c r="B11" s="275">
        <v>6</v>
      </c>
      <c r="C11" s="141" t="s">
        <v>7</v>
      </c>
      <c r="D11" s="142">
        <v>130.84</v>
      </c>
      <c r="E11" s="139">
        <f t="shared" si="0"/>
        <v>61143.381228981962</v>
      </c>
      <c r="F11" s="140">
        <f t="shared" si="1"/>
        <v>8000000</v>
      </c>
      <c r="G11" s="145">
        <v>0.08</v>
      </c>
      <c r="H11" s="40"/>
      <c r="I11" s="40"/>
      <c r="J11" s="40"/>
      <c r="K11" s="40"/>
      <c r="L11" s="40"/>
      <c r="M11" s="40"/>
    </row>
    <row r="12" spans="2:13" ht="18" x14ac:dyDescent="0.4">
      <c r="B12" s="275">
        <v>7</v>
      </c>
      <c r="C12" s="141" t="s">
        <v>13</v>
      </c>
      <c r="D12" s="142">
        <v>25.45</v>
      </c>
      <c r="E12" s="139">
        <f t="shared" si="0"/>
        <v>275049.11591355602</v>
      </c>
      <c r="F12" s="140">
        <f t="shared" si="1"/>
        <v>7000000.0000000009</v>
      </c>
      <c r="G12" s="145">
        <v>7.0000000000000007E-2</v>
      </c>
      <c r="H12" s="40"/>
      <c r="I12" s="40"/>
      <c r="J12" s="40"/>
      <c r="K12" s="40"/>
      <c r="L12" s="40"/>
      <c r="M12" s="40"/>
    </row>
    <row r="13" spans="2:13" ht="18" x14ac:dyDescent="0.4">
      <c r="B13" s="275">
        <v>8</v>
      </c>
      <c r="C13" s="141" t="s">
        <v>9</v>
      </c>
      <c r="D13" s="142">
        <v>143.94999999999999</v>
      </c>
      <c r="E13" s="139">
        <f t="shared" si="0"/>
        <v>48627.995831886081</v>
      </c>
      <c r="F13" s="140">
        <f t="shared" si="1"/>
        <v>7000000.0000000009</v>
      </c>
      <c r="G13" s="145">
        <v>7.0000000000000007E-2</v>
      </c>
      <c r="H13" s="40"/>
      <c r="I13" s="40"/>
      <c r="J13" s="40"/>
      <c r="K13" s="40"/>
      <c r="L13" s="40"/>
      <c r="M13" s="40"/>
    </row>
    <row r="14" spans="2:13" ht="18" x14ac:dyDescent="0.4">
      <c r="B14" s="275">
        <v>9</v>
      </c>
      <c r="C14" s="141" t="s">
        <v>14</v>
      </c>
      <c r="D14" s="142">
        <v>24.08</v>
      </c>
      <c r="E14" s="139">
        <f t="shared" si="0"/>
        <v>249169.43521594687</v>
      </c>
      <c r="F14" s="140">
        <f t="shared" si="1"/>
        <v>6000000</v>
      </c>
      <c r="G14" s="145">
        <v>0.06</v>
      </c>
      <c r="H14" s="40"/>
      <c r="I14" s="40"/>
      <c r="J14" s="40"/>
      <c r="K14" s="40"/>
      <c r="L14" s="40"/>
      <c r="M14" s="40"/>
    </row>
    <row r="15" spans="2:13" ht="18" x14ac:dyDescent="0.4">
      <c r="B15" s="275">
        <v>10</v>
      </c>
      <c r="C15" s="141" t="s">
        <v>12</v>
      </c>
      <c r="D15" s="142">
        <v>32.61</v>
      </c>
      <c r="E15" s="139">
        <f t="shared" si="0"/>
        <v>153327.20024532353</v>
      </c>
      <c r="F15" s="140">
        <f t="shared" si="1"/>
        <v>5000000</v>
      </c>
      <c r="G15" s="145">
        <v>0.05</v>
      </c>
      <c r="H15" s="40"/>
      <c r="I15" s="40"/>
      <c r="J15" s="40"/>
      <c r="K15" s="40"/>
      <c r="L15" s="40"/>
      <c r="M15" s="40"/>
    </row>
    <row r="16" spans="2:13" ht="18" x14ac:dyDescent="0.4">
      <c r="B16" s="275">
        <v>11</v>
      </c>
      <c r="C16" s="141" t="s">
        <v>6</v>
      </c>
      <c r="D16" s="142">
        <v>104.62</v>
      </c>
      <c r="E16" s="139">
        <f t="shared" si="0"/>
        <v>47792.00917606576</v>
      </c>
      <c r="F16" s="140">
        <f t="shared" si="1"/>
        <v>5000000</v>
      </c>
      <c r="G16" s="145">
        <v>0.05</v>
      </c>
      <c r="H16" s="40"/>
      <c r="I16" s="40"/>
      <c r="J16" s="40"/>
      <c r="K16" s="40"/>
      <c r="L16" s="40"/>
      <c r="M16" s="40"/>
    </row>
    <row r="17" spans="2:117" ht="18.5" thickBot="1" x14ac:dyDescent="0.45">
      <c r="B17" s="276">
        <v>12</v>
      </c>
      <c r="C17" s="146" t="s">
        <v>5</v>
      </c>
      <c r="D17" s="147">
        <v>164.9</v>
      </c>
      <c r="E17" s="148">
        <f t="shared" si="0"/>
        <v>24257.12553062462</v>
      </c>
      <c r="F17" s="149">
        <f t="shared" si="1"/>
        <v>4000000</v>
      </c>
      <c r="G17" s="150">
        <v>0.04</v>
      </c>
      <c r="H17" s="40"/>
      <c r="I17" s="40"/>
      <c r="J17" s="40"/>
      <c r="K17" s="40"/>
      <c r="L17" s="40"/>
      <c r="M17" s="40"/>
    </row>
    <row r="18" spans="2:117" ht="16" thickBot="1" x14ac:dyDescent="0.4">
      <c r="B18" s="40"/>
      <c r="C18" s="40"/>
      <c r="D18" s="40"/>
      <c r="E18" s="40"/>
      <c r="F18" s="40"/>
      <c r="G18" s="40"/>
      <c r="H18" s="40"/>
      <c r="I18" s="40"/>
      <c r="J18" s="40"/>
      <c r="K18" s="40"/>
      <c r="L18" s="40"/>
      <c r="M18" s="40"/>
    </row>
    <row r="19" spans="2:117" ht="16" thickBot="1" x14ac:dyDescent="0.4">
      <c r="B19" s="40"/>
      <c r="C19" s="152" t="s">
        <v>96</v>
      </c>
      <c r="D19" s="40"/>
      <c r="E19" s="151">
        <f>SUM(E6:E17)</f>
        <v>1525533.3206190353</v>
      </c>
      <c r="F19" s="151">
        <v>100000000</v>
      </c>
      <c r="G19" s="40"/>
      <c r="H19" s="40"/>
      <c r="I19" s="40"/>
      <c r="J19" s="40"/>
      <c r="K19" s="40"/>
      <c r="L19" s="40"/>
      <c r="M19" s="40"/>
    </row>
    <row r="20" spans="2:117" ht="15.5" x14ac:dyDescent="0.35">
      <c r="B20" s="40"/>
      <c r="C20" s="143"/>
      <c r="D20" s="40"/>
      <c r="E20" s="40"/>
      <c r="F20" s="144"/>
      <c r="G20" s="40"/>
      <c r="H20" s="40"/>
      <c r="I20" s="40"/>
      <c r="J20" s="40"/>
      <c r="K20" s="40"/>
      <c r="L20" s="40"/>
      <c r="M20" s="40"/>
    </row>
    <row r="21" spans="2:117" ht="15.5" x14ac:dyDescent="0.35">
      <c r="B21" s="40"/>
      <c r="C21" s="143"/>
      <c r="D21" s="40"/>
      <c r="E21" s="40"/>
      <c r="F21" s="144"/>
      <c r="G21" s="40"/>
      <c r="H21" s="40"/>
      <c r="I21" s="40"/>
      <c r="J21" s="40"/>
      <c r="K21" s="40"/>
      <c r="L21" s="40"/>
      <c r="M21" s="40"/>
    </row>
    <row r="22" spans="2:117" ht="15.5" x14ac:dyDescent="0.35">
      <c r="B22" s="40"/>
      <c r="C22" s="143"/>
      <c r="D22" s="40"/>
      <c r="E22" s="40"/>
      <c r="F22" s="144"/>
      <c r="G22" s="40"/>
      <c r="H22" s="40"/>
      <c r="I22" s="40"/>
      <c r="J22" s="40"/>
      <c r="K22" s="40"/>
      <c r="L22" s="40"/>
      <c r="M22" s="40"/>
    </row>
    <row r="23" spans="2:117" ht="34.5" customHeight="1" x14ac:dyDescent="0.35">
      <c r="B23" s="341" t="s">
        <v>203</v>
      </c>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row>
    <row r="24" spans="2:117" ht="15.5" x14ac:dyDescent="0.35">
      <c r="B24" s="40"/>
      <c r="C24" s="40"/>
      <c r="D24" s="40"/>
      <c r="E24" s="40"/>
      <c r="F24" s="40"/>
      <c r="G24" s="40"/>
      <c r="H24" s="40"/>
      <c r="I24" s="40"/>
      <c r="J24" s="40"/>
      <c r="K24" s="40"/>
      <c r="L24" s="40"/>
      <c r="M24" s="40"/>
    </row>
    <row r="25" spans="2:117" ht="15.5" x14ac:dyDescent="0.35">
      <c r="B25" s="40"/>
      <c r="C25" s="40"/>
      <c r="D25" s="40"/>
      <c r="E25" s="40"/>
      <c r="F25" s="40"/>
      <c r="G25" s="40"/>
      <c r="H25" s="40"/>
      <c r="I25" s="40"/>
      <c r="J25" s="40"/>
      <c r="K25" s="40"/>
      <c r="L25" s="40"/>
      <c r="M25" s="40"/>
    </row>
    <row r="26" spans="2:117" ht="16" thickBot="1" x14ac:dyDescent="0.4">
      <c r="B26" s="40"/>
      <c r="C26" s="40"/>
      <c r="D26" s="40"/>
      <c r="E26" s="40"/>
      <c r="F26" s="40"/>
      <c r="G26" s="40"/>
      <c r="H26" s="40"/>
      <c r="I26" s="40"/>
      <c r="J26" s="40"/>
      <c r="K26" s="40"/>
      <c r="L26" s="40"/>
      <c r="M26" s="40"/>
    </row>
    <row r="27" spans="2:117" ht="18" thickBot="1" x14ac:dyDescent="0.4">
      <c r="B27" s="40"/>
      <c r="C27" s="40"/>
      <c r="D27" s="332" t="s">
        <v>179</v>
      </c>
      <c r="E27" s="333"/>
      <c r="F27" s="333"/>
      <c r="G27" s="333"/>
      <c r="H27" s="333"/>
      <c r="I27" s="333"/>
      <c r="J27" s="333"/>
      <c r="K27" s="333"/>
      <c r="L27" s="333"/>
      <c r="M27" s="333"/>
      <c r="N27" s="333"/>
      <c r="O27" s="333"/>
      <c r="P27" s="333"/>
      <c r="Q27" s="333"/>
      <c r="R27" s="334"/>
      <c r="S27" s="332" t="s">
        <v>180</v>
      </c>
      <c r="T27" s="333"/>
      <c r="U27" s="333"/>
      <c r="V27" s="333"/>
      <c r="W27" s="333"/>
      <c r="X27" s="333"/>
      <c r="Y27" s="333"/>
      <c r="Z27" s="333"/>
      <c r="AA27" s="333"/>
      <c r="AB27" s="333"/>
      <c r="AC27" s="333"/>
      <c r="AD27" s="333"/>
      <c r="AE27" s="332" t="s">
        <v>181</v>
      </c>
      <c r="AF27" s="333"/>
      <c r="AG27" s="333"/>
      <c r="AH27" s="333"/>
      <c r="AI27" s="333"/>
      <c r="AJ27" s="333"/>
      <c r="AK27" s="333"/>
      <c r="AL27" s="333"/>
      <c r="AM27" s="333"/>
      <c r="AN27" s="333"/>
      <c r="AO27" s="333"/>
      <c r="AP27" s="333"/>
      <c r="AQ27" s="333"/>
      <c r="AR27" s="333"/>
      <c r="AS27" s="334"/>
      <c r="AT27" s="332" t="s">
        <v>193</v>
      </c>
      <c r="AU27" s="333"/>
      <c r="AV27" s="333"/>
      <c r="AW27" s="333"/>
      <c r="AX27" s="333"/>
      <c r="AY27" s="333"/>
      <c r="AZ27" s="333"/>
      <c r="BA27" s="333"/>
      <c r="BB27" s="333"/>
      <c r="BC27" s="333"/>
      <c r="BD27" s="333"/>
      <c r="BE27" s="333"/>
      <c r="BF27" s="333"/>
      <c r="BG27" s="333"/>
      <c r="BH27" s="334"/>
      <c r="BI27" s="332" t="s">
        <v>211</v>
      </c>
      <c r="BJ27" s="333"/>
      <c r="BK27" s="333"/>
      <c r="BL27" s="333"/>
      <c r="BM27" s="333"/>
      <c r="BN27" s="333"/>
      <c r="BO27" s="333"/>
      <c r="BP27" s="333"/>
      <c r="BQ27" s="333"/>
      <c r="BR27" s="333"/>
      <c r="BS27" s="333"/>
      <c r="BT27" s="333"/>
      <c r="BU27" s="333"/>
      <c r="BV27" s="333"/>
      <c r="BW27" s="334"/>
      <c r="BX27" s="332" t="s">
        <v>229</v>
      </c>
      <c r="BY27" s="333"/>
      <c r="BZ27" s="333"/>
      <c r="CA27" s="333"/>
      <c r="CB27" s="333"/>
      <c r="CC27" s="333"/>
      <c r="CD27" s="333"/>
      <c r="CE27" s="333"/>
      <c r="CF27" s="333"/>
      <c r="CG27" s="333"/>
      <c r="CH27" s="333"/>
      <c r="CI27" s="334"/>
      <c r="CJ27" s="333" t="s">
        <v>230</v>
      </c>
      <c r="CK27" s="333"/>
      <c r="CL27" s="333"/>
      <c r="CM27" s="333"/>
      <c r="CN27" s="333"/>
      <c r="CO27" s="333"/>
      <c r="CP27" s="333"/>
      <c r="CQ27" s="333"/>
      <c r="CR27" s="333"/>
      <c r="CS27" s="333"/>
      <c r="CT27" s="333"/>
      <c r="CU27" s="333"/>
      <c r="CV27" s="333"/>
      <c r="CW27" s="333"/>
      <c r="CX27" s="333"/>
      <c r="CY27" s="332" t="s">
        <v>231</v>
      </c>
      <c r="CZ27" s="333"/>
      <c r="DA27" s="333"/>
      <c r="DB27" s="333"/>
      <c r="DC27" s="333"/>
      <c r="DD27" s="333"/>
      <c r="DE27" s="333"/>
      <c r="DF27" s="333"/>
      <c r="DG27" s="333"/>
      <c r="DH27" s="333"/>
      <c r="DI27" s="333"/>
      <c r="DJ27" s="333"/>
      <c r="DK27" s="333"/>
      <c r="DL27" s="333"/>
      <c r="DM27" s="334"/>
    </row>
    <row r="28" spans="2:117" ht="20.5" thickBot="1" x14ac:dyDescent="0.45">
      <c r="B28" s="40"/>
      <c r="C28" s="40"/>
      <c r="D28" s="338" t="s">
        <v>102</v>
      </c>
      <c r="E28" s="339"/>
      <c r="F28" s="340"/>
      <c r="G28" s="338" t="s">
        <v>107</v>
      </c>
      <c r="H28" s="339"/>
      <c r="I28" s="340"/>
      <c r="J28" s="338" t="s">
        <v>104</v>
      </c>
      <c r="K28" s="339"/>
      <c r="L28" s="340"/>
      <c r="M28" s="338" t="s">
        <v>105</v>
      </c>
      <c r="N28" s="339"/>
      <c r="O28" s="340"/>
      <c r="P28" s="338" t="s">
        <v>106</v>
      </c>
      <c r="Q28" s="339"/>
      <c r="R28" s="340"/>
      <c r="S28" s="338" t="s">
        <v>154</v>
      </c>
      <c r="T28" s="339"/>
      <c r="U28" s="340"/>
      <c r="V28" s="338" t="s">
        <v>155</v>
      </c>
      <c r="W28" s="339"/>
      <c r="X28" s="340"/>
      <c r="Y28" s="338" t="s">
        <v>156</v>
      </c>
      <c r="Z28" s="339"/>
      <c r="AA28" s="340"/>
      <c r="AB28" s="338" t="s">
        <v>157</v>
      </c>
      <c r="AC28" s="339"/>
      <c r="AD28" s="340"/>
      <c r="AE28" s="335" t="s">
        <v>174</v>
      </c>
      <c r="AF28" s="336"/>
      <c r="AG28" s="337"/>
      <c r="AH28" s="335" t="s">
        <v>175</v>
      </c>
      <c r="AI28" s="336"/>
      <c r="AJ28" s="337"/>
      <c r="AK28" s="335" t="s">
        <v>176</v>
      </c>
      <c r="AL28" s="336"/>
      <c r="AM28" s="337"/>
      <c r="AN28" s="335" t="s">
        <v>177</v>
      </c>
      <c r="AO28" s="336"/>
      <c r="AP28" s="336"/>
      <c r="AQ28" s="338" t="s">
        <v>178</v>
      </c>
      <c r="AR28" s="339"/>
      <c r="AS28" s="340"/>
      <c r="AT28" s="335" t="s">
        <v>194</v>
      </c>
      <c r="AU28" s="336"/>
      <c r="AV28" s="337"/>
      <c r="AW28" s="335" t="s">
        <v>195</v>
      </c>
      <c r="AX28" s="336"/>
      <c r="AY28" s="337"/>
      <c r="AZ28" s="335" t="s">
        <v>196</v>
      </c>
      <c r="BA28" s="336"/>
      <c r="BB28" s="337"/>
      <c r="BC28" s="335" t="s">
        <v>197</v>
      </c>
      <c r="BD28" s="336"/>
      <c r="BE28" s="336"/>
      <c r="BF28" s="338" t="s">
        <v>198</v>
      </c>
      <c r="BG28" s="339"/>
      <c r="BH28" s="340"/>
      <c r="BI28" s="335" t="s">
        <v>205</v>
      </c>
      <c r="BJ28" s="336"/>
      <c r="BK28" s="337"/>
      <c r="BL28" s="335" t="s">
        <v>206</v>
      </c>
      <c r="BM28" s="336"/>
      <c r="BN28" s="337"/>
      <c r="BO28" s="335" t="s">
        <v>207</v>
      </c>
      <c r="BP28" s="336"/>
      <c r="BQ28" s="337"/>
      <c r="BR28" s="335" t="s">
        <v>208</v>
      </c>
      <c r="BS28" s="336"/>
      <c r="BT28" s="336"/>
      <c r="BU28" s="338" t="s">
        <v>209</v>
      </c>
      <c r="BV28" s="339"/>
      <c r="BW28" s="340"/>
      <c r="BX28" s="335" t="s">
        <v>213</v>
      </c>
      <c r="BY28" s="336"/>
      <c r="BZ28" s="337"/>
      <c r="CA28" s="335" t="s">
        <v>214</v>
      </c>
      <c r="CB28" s="336"/>
      <c r="CC28" s="337"/>
      <c r="CD28" s="335" t="s">
        <v>215</v>
      </c>
      <c r="CE28" s="336"/>
      <c r="CF28" s="337"/>
      <c r="CG28" s="335" t="s">
        <v>216</v>
      </c>
      <c r="CH28" s="336"/>
      <c r="CI28" s="336"/>
      <c r="CJ28" s="335" t="s">
        <v>218</v>
      </c>
      <c r="CK28" s="336"/>
      <c r="CL28" s="337"/>
      <c r="CM28" s="335" t="s">
        <v>219</v>
      </c>
      <c r="CN28" s="336"/>
      <c r="CO28" s="337"/>
      <c r="CP28" s="335" t="s">
        <v>220</v>
      </c>
      <c r="CQ28" s="336"/>
      <c r="CR28" s="337"/>
      <c r="CS28" s="335" t="s">
        <v>221</v>
      </c>
      <c r="CT28" s="336"/>
      <c r="CU28" s="336"/>
      <c r="CV28" s="338" t="s">
        <v>222</v>
      </c>
      <c r="CW28" s="339"/>
      <c r="CX28" s="340"/>
      <c r="CY28" s="335" t="s">
        <v>223</v>
      </c>
      <c r="CZ28" s="336"/>
      <c r="DA28" s="337"/>
      <c r="DB28" s="335" t="s">
        <v>225</v>
      </c>
      <c r="DC28" s="336"/>
      <c r="DD28" s="337"/>
      <c r="DE28" s="335" t="s">
        <v>226</v>
      </c>
      <c r="DF28" s="336"/>
      <c r="DG28" s="337"/>
      <c r="DH28" s="335" t="s">
        <v>227</v>
      </c>
      <c r="DI28" s="336"/>
      <c r="DJ28" s="336"/>
      <c r="DK28" s="338" t="s">
        <v>228</v>
      </c>
      <c r="DL28" s="339"/>
      <c r="DM28" s="340"/>
    </row>
    <row r="29" spans="2:117" ht="14.5" customHeight="1" x14ac:dyDescent="0.35">
      <c r="B29" s="348" t="s">
        <v>98</v>
      </c>
      <c r="C29" s="346" t="s">
        <v>93</v>
      </c>
      <c r="D29" s="348" t="s">
        <v>43</v>
      </c>
      <c r="E29" s="330" t="s">
        <v>94</v>
      </c>
      <c r="F29" s="350" t="s">
        <v>99</v>
      </c>
      <c r="G29" s="348" t="s">
        <v>43</v>
      </c>
      <c r="H29" s="330" t="s">
        <v>94</v>
      </c>
      <c r="I29" s="350" t="s">
        <v>99</v>
      </c>
      <c r="J29" s="348" t="s">
        <v>43</v>
      </c>
      <c r="K29" s="330" t="s">
        <v>94</v>
      </c>
      <c r="L29" s="350" t="s">
        <v>99</v>
      </c>
      <c r="M29" s="348" t="s">
        <v>43</v>
      </c>
      <c r="N29" s="330" t="s">
        <v>94</v>
      </c>
      <c r="O29" s="350" t="s">
        <v>99</v>
      </c>
      <c r="P29" s="348" t="s">
        <v>43</v>
      </c>
      <c r="Q29" s="330" t="s">
        <v>94</v>
      </c>
      <c r="R29" s="350" t="s">
        <v>99</v>
      </c>
      <c r="S29" s="348" t="s">
        <v>43</v>
      </c>
      <c r="T29" s="330" t="s">
        <v>94</v>
      </c>
      <c r="U29" s="350" t="s">
        <v>99</v>
      </c>
      <c r="V29" s="348" t="s">
        <v>43</v>
      </c>
      <c r="W29" s="330" t="s">
        <v>94</v>
      </c>
      <c r="X29" s="350" t="s">
        <v>99</v>
      </c>
      <c r="Y29" s="348" t="s">
        <v>43</v>
      </c>
      <c r="Z29" s="330" t="s">
        <v>94</v>
      </c>
      <c r="AA29" s="350" t="s">
        <v>99</v>
      </c>
      <c r="AB29" s="348" t="s">
        <v>43</v>
      </c>
      <c r="AC29" s="330" t="s">
        <v>94</v>
      </c>
      <c r="AD29" s="350" t="s">
        <v>99</v>
      </c>
      <c r="AE29" s="348" t="s">
        <v>43</v>
      </c>
      <c r="AF29" s="330" t="s">
        <v>94</v>
      </c>
      <c r="AG29" s="350" t="s">
        <v>99</v>
      </c>
      <c r="AH29" s="348" t="s">
        <v>43</v>
      </c>
      <c r="AI29" s="330" t="s">
        <v>94</v>
      </c>
      <c r="AJ29" s="350" t="s">
        <v>99</v>
      </c>
      <c r="AK29" s="348" t="s">
        <v>43</v>
      </c>
      <c r="AL29" s="330" t="s">
        <v>94</v>
      </c>
      <c r="AM29" s="350" t="s">
        <v>99</v>
      </c>
      <c r="AN29" s="348" t="s">
        <v>43</v>
      </c>
      <c r="AO29" s="330" t="s">
        <v>94</v>
      </c>
      <c r="AP29" s="346" t="s">
        <v>99</v>
      </c>
      <c r="AQ29" s="348" t="s">
        <v>43</v>
      </c>
      <c r="AR29" s="330" t="s">
        <v>94</v>
      </c>
      <c r="AS29" s="350" t="s">
        <v>99</v>
      </c>
      <c r="AT29" s="348" t="s">
        <v>43</v>
      </c>
      <c r="AU29" s="330" t="s">
        <v>94</v>
      </c>
      <c r="AV29" s="350" t="s">
        <v>99</v>
      </c>
      <c r="AW29" s="348" t="s">
        <v>43</v>
      </c>
      <c r="AX29" s="330" t="s">
        <v>94</v>
      </c>
      <c r="AY29" s="350" t="s">
        <v>99</v>
      </c>
      <c r="AZ29" s="348" t="s">
        <v>43</v>
      </c>
      <c r="BA29" s="330" t="s">
        <v>94</v>
      </c>
      <c r="BB29" s="350" t="s">
        <v>99</v>
      </c>
      <c r="BC29" s="348" t="s">
        <v>43</v>
      </c>
      <c r="BD29" s="330" t="s">
        <v>94</v>
      </c>
      <c r="BE29" s="346" t="s">
        <v>99</v>
      </c>
      <c r="BF29" s="348" t="s">
        <v>43</v>
      </c>
      <c r="BG29" s="330" t="s">
        <v>94</v>
      </c>
      <c r="BH29" s="350" t="s">
        <v>99</v>
      </c>
      <c r="BI29" s="348" t="s">
        <v>43</v>
      </c>
      <c r="BJ29" s="330" t="s">
        <v>94</v>
      </c>
      <c r="BK29" s="350" t="s">
        <v>99</v>
      </c>
      <c r="BL29" s="348" t="s">
        <v>43</v>
      </c>
      <c r="BM29" s="330" t="s">
        <v>94</v>
      </c>
      <c r="BN29" s="350" t="s">
        <v>99</v>
      </c>
      <c r="BO29" s="348" t="s">
        <v>43</v>
      </c>
      <c r="BP29" s="330" t="s">
        <v>94</v>
      </c>
      <c r="BQ29" s="350" t="s">
        <v>99</v>
      </c>
      <c r="BR29" s="348" t="s">
        <v>43</v>
      </c>
      <c r="BS29" s="330" t="s">
        <v>94</v>
      </c>
      <c r="BT29" s="346" t="s">
        <v>99</v>
      </c>
      <c r="BU29" s="348" t="s">
        <v>43</v>
      </c>
      <c r="BV29" s="330" t="s">
        <v>94</v>
      </c>
      <c r="BW29" s="350" t="s">
        <v>99</v>
      </c>
      <c r="BX29" s="348" t="s">
        <v>43</v>
      </c>
      <c r="BY29" s="330" t="s">
        <v>94</v>
      </c>
      <c r="BZ29" s="350" t="s">
        <v>99</v>
      </c>
      <c r="CA29" s="348" t="s">
        <v>43</v>
      </c>
      <c r="CB29" s="330" t="s">
        <v>94</v>
      </c>
      <c r="CC29" s="350" t="s">
        <v>99</v>
      </c>
      <c r="CD29" s="348" t="s">
        <v>43</v>
      </c>
      <c r="CE29" s="330" t="s">
        <v>94</v>
      </c>
      <c r="CF29" s="350" t="s">
        <v>99</v>
      </c>
      <c r="CG29" s="348" t="s">
        <v>43</v>
      </c>
      <c r="CH29" s="330" t="s">
        <v>94</v>
      </c>
      <c r="CI29" s="346" t="s">
        <v>99</v>
      </c>
      <c r="CJ29" s="348" t="s">
        <v>43</v>
      </c>
      <c r="CK29" s="330" t="s">
        <v>94</v>
      </c>
      <c r="CL29" s="350" t="s">
        <v>99</v>
      </c>
      <c r="CM29" s="348" t="s">
        <v>43</v>
      </c>
      <c r="CN29" s="330" t="s">
        <v>94</v>
      </c>
      <c r="CO29" s="350" t="s">
        <v>99</v>
      </c>
      <c r="CP29" s="348" t="s">
        <v>43</v>
      </c>
      <c r="CQ29" s="330" t="s">
        <v>94</v>
      </c>
      <c r="CR29" s="350" t="s">
        <v>99</v>
      </c>
      <c r="CS29" s="348" t="s">
        <v>43</v>
      </c>
      <c r="CT29" s="330" t="s">
        <v>94</v>
      </c>
      <c r="CU29" s="346" t="s">
        <v>99</v>
      </c>
      <c r="CV29" s="348" t="s">
        <v>43</v>
      </c>
      <c r="CW29" s="330" t="s">
        <v>94</v>
      </c>
      <c r="CX29" s="350" t="s">
        <v>99</v>
      </c>
      <c r="CY29" s="348" t="s">
        <v>43</v>
      </c>
      <c r="CZ29" s="330" t="s">
        <v>94</v>
      </c>
      <c r="DA29" s="350" t="s">
        <v>99</v>
      </c>
      <c r="DB29" s="348" t="s">
        <v>43</v>
      </c>
      <c r="DC29" s="330" t="s">
        <v>94</v>
      </c>
      <c r="DD29" s="350" t="s">
        <v>99</v>
      </c>
      <c r="DE29" s="348" t="s">
        <v>43</v>
      </c>
      <c r="DF29" s="330" t="s">
        <v>94</v>
      </c>
      <c r="DG29" s="350" t="s">
        <v>99</v>
      </c>
      <c r="DH29" s="348" t="s">
        <v>43</v>
      </c>
      <c r="DI29" s="330" t="s">
        <v>94</v>
      </c>
      <c r="DJ29" s="346" t="s">
        <v>99</v>
      </c>
      <c r="DK29" s="348" t="s">
        <v>43</v>
      </c>
      <c r="DL29" s="330" t="s">
        <v>94</v>
      </c>
      <c r="DM29" s="350" t="s">
        <v>99</v>
      </c>
    </row>
    <row r="30" spans="2:117" ht="15" thickBot="1" x14ac:dyDescent="0.4">
      <c r="B30" s="349"/>
      <c r="C30" s="347"/>
      <c r="D30" s="349"/>
      <c r="E30" s="331"/>
      <c r="F30" s="351"/>
      <c r="G30" s="349"/>
      <c r="H30" s="331"/>
      <c r="I30" s="351"/>
      <c r="J30" s="349"/>
      <c r="K30" s="331"/>
      <c r="L30" s="351"/>
      <c r="M30" s="349"/>
      <c r="N30" s="331"/>
      <c r="O30" s="351"/>
      <c r="P30" s="349"/>
      <c r="Q30" s="331"/>
      <c r="R30" s="351"/>
      <c r="S30" s="349"/>
      <c r="T30" s="331"/>
      <c r="U30" s="351"/>
      <c r="V30" s="349"/>
      <c r="W30" s="331"/>
      <c r="X30" s="351"/>
      <c r="Y30" s="349"/>
      <c r="Z30" s="331"/>
      <c r="AA30" s="351"/>
      <c r="AB30" s="349"/>
      <c r="AC30" s="331"/>
      <c r="AD30" s="351"/>
      <c r="AE30" s="349"/>
      <c r="AF30" s="331"/>
      <c r="AG30" s="351"/>
      <c r="AH30" s="349"/>
      <c r="AI30" s="331"/>
      <c r="AJ30" s="351"/>
      <c r="AK30" s="349"/>
      <c r="AL30" s="331"/>
      <c r="AM30" s="351"/>
      <c r="AN30" s="349"/>
      <c r="AO30" s="331"/>
      <c r="AP30" s="347"/>
      <c r="AQ30" s="349"/>
      <c r="AR30" s="331"/>
      <c r="AS30" s="351"/>
      <c r="AT30" s="349"/>
      <c r="AU30" s="331"/>
      <c r="AV30" s="351"/>
      <c r="AW30" s="349"/>
      <c r="AX30" s="331"/>
      <c r="AY30" s="351"/>
      <c r="AZ30" s="349"/>
      <c r="BA30" s="331"/>
      <c r="BB30" s="351"/>
      <c r="BC30" s="349"/>
      <c r="BD30" s="331"/>
      <c r="BE30" s="347"/>
      <c r="BF30" s="349"/>
      <c r="BG30" s="331"/>
      <c r="BH30" s="351"/>
      <c r="BI30" s="349"/>
      <c r="BJ30" s="331"/>
      <c r="BK30" s="351"/>
      <c r="BL30" s="349"/>
      <c r="BM30" s="331"/>
      <c r="BN30" s="351"/>
      <c r="BO30" s="349"/>
      <c r="BP30" s="331"/>
      <c r="BQ30" s="351"/>
      <c r="BR30" s="349"/>
      <c r="BS30" s="331"/>
      <c r="BT30" s="347"/>
      <c r="BU30" s="349"/>
      <c r="BV30" s="331"/>
      <c r="BW30" s="351"/>
      <c r="BX30" s="349"/>
      <c r="BY30" s="331"/>
      <c r="BZ30" s="351"/>
      <c r="CA30" s="349"/>
      <c r="CB30" s="331"/>
      <c r="CC30" s="351"/>
      <c r="CD30" s="349"/>
      <c r="CE30" s="331"/>
      <c r="CF30" s="351"/>
      <c r="CG30" s="349"/>
      <c r="CH30" s="331"/>
      <c r="CI30" s="347"/>
      <c r="CJ30" s="349"/>
      <c r="CK30" s="331"/>
      <c r="CL30" s="351"/>
      <c r="CM30" s="349"/>
      <c r="CN30" s="331"/>
      <c r="CO30" s="351"/>
      <c r="CP30" s="349"/>
      <c r="CQ30" s="331"/>
      <c r="CR30" s="351"/>
      <c r="CS30" s="349"/>
      <c r="CT30" s="331"/>
      <c r="CU30" s="347"/>
      <c r="CV30" s="349"/>
      <c r="CW30" s="331"/>
      <c r="CX30" s="351"/>
      <c r="CY30" s="349"/>
      <c r="CZ30" s="331"/>
      <c r="DA30" s="351"/>
      <c r="DB30" s="349"/>
      <c r="DC30" s="331"/>
      <c r="DD30" s="351"/>
      <c r="DE30" s="349"/>
      <c r="DF30" s="331"/>
      <c r="DG30" s="351"/>
      <c r="DH30" s="349"/>
      <c r="DI30" s="331"/>
      <c r="DJ30" s="347"/>
      <c r="DK30" s="349"/>
      <c r="DL30" s="331"/>
      <c r="DM30" s="351"/>
    </row>
    <row r="31" spans="2:117" ht="15.5" x14ac:dyDescent="0.35">
      <c r="B31" s="156">
        <v>1</v>
      </c>
      <c r="C31" s="212" t="s">
        <v>10</v>
      </c>
      <c r="D31" s="215">
        <v>33.43</v>
      </c>
      <c r="E31" s="158">
        <v>443525</v>
      </c>
      <c r="F31" s="157">
        <f>D31*E31</f>
        <v>14827040.75</v>
      </c>
      <c r="G31" s="215">
        <v>33.54</v>
      </c>
      <c r="H31" s="158">
        <v>443525</v>
      </c>
      <c r="I31" s="157">
        <f>G31*H31</f>
        <v>14875828.5</v>
      </c>
      <c r="J31" s="215">
        <v>33.49</v>
      </c>
      <c r="K31" s="158">
        <v>443525</v>
      </c>
      <c r="L31" s="157">
        <f>J31*K31</f>
        <v>14853652.25</v>
      </c>
      <c r="M31" s="215">
        <v>33.770000000000003</v>
      </c>
      <c r="N31" s="158">
        <v>443525</v>
      </c>
      <c r="O31" s="157">
        <f t="shared" ref="O31:O42" si="2">M31*N31</f>
        <v>14977839.250000002</v>
      </c>
      <c r="P31" s="215">
        <v>33.43</v>
      </c>
      <c r="Q31" s="158">
        <v>443525</v>
      </c>
      <c r="R31" s="157">
        <f>P31*Q31</f>
        <v>14827040.75</v>
      </c>
      <c r="S31" s="215">
        <v>33.79</v>
      </c>
      <c r="T31" s="158">
        <v>443525</v>
      </c>
      <c r="U31" s="157">
        <f>S31*T31</f>
        <v>14986709.75</v>
      </c>
      <c r="V31" s="215">
        <v>33.71</v>
      </c>
      <c r="W31" s="158">
        <v>443525</v>
      </c>
      <c r="X31" s="157">
        <f>V31*W31</f>
        <v>14951227.75</v>
      </c>
      <c r="Y31" s="215">
        <v>33.880000000000003</v>
      </c>
      <c r="Z31" s="158">
        <v>443525</v>
      </c>
      <c r="AA31" s="157">
        <f>Y31*Z31</f>
        <v>15026627.000000002</v>
      </c>
      <c r="AB31" s="215">
        <v>33.42</v>
      </c>
      <c r="AC31" s="158">
        <v>443525</v>
      </c>
      <c r="AD31" s="157">
        <f>AB31*AC31</f>
        <v>14822605.5</v>
      </c>
      <c r="AE31" s="215">
        <v>32.950000000000003</v>
      </c>
      <c r="AF31" s="158">
        <v>443525</v>
      </c>
      <c r="AG31" s="157">
        <f>AE31*AF31</f>
        <v>14614148.750000002</v>
      </c>
      <c r="AH31" s="215">
        <v>32.79</v>
      </c>
      <c r="AI31" s="158">
        <v>443525</v>
      </c>
      <c r="AJ31" s="157">
        <f>AH31*AI31</f>
        <v>14543184.75</v>
      </c>
      <c r="AK31" s="215">
        <v>33.01</v>
      </c>
      <c r="AL31" s="158">
        <v>443525</v>
      </c>
      <c r="AM31" s="157">
        <f>AK31*AL31</f>
        <v>14640760.25</v>
      </c>
      <c r="AN31" s="215">
        <v>32.92</v>
      </c>
      <c r="AO31" s="158">
        <v>443525</v>
      </c>
      <c r="AP31" s="230">
        <f>AN31*AO31</f>
        <v>14600843</v>
      </c>
      <c r="AQ31" s="215">
        <v>32.93</v>
      </c>
      <c r="AR31" s="158">
        <v>443525</v>
      </c>
      <c r="AS31" s="157">
        <f>AQ31*AR31</f>
        <v>14605278.25</v>
      </c>
      <c r="AT31" s="215">
        <v>32.71</v>
      </c>
      <c r="AU31" s="158">
        <v>443525</v>
      </c>
      <c r="AV31" s="157">
        <f>AT31*AU31</f>
        <v>14507702.75</v>
      </c>
      <c r="AW31" s="215">
        <v>33.43</v>
      </c>
      <c r="AX31" s="158">
        <v>443525</v>
      </c>
      <c r="AY31" s="157">
        <f>AW31*AX31</f>
        <v>14827040.75</v>
      </c>
      <c r="AZ31" s="215">
        <v>33.43</v>
      </c>
      <c r="BA31" s="158">
        <v>443525</v>
      </c>
      <c r="BB31" s="157">
        <f>AZ31*BA31</f>
        <v>14827040.75</v>
      </c>
      <c r="BC31" s="215">
        <v>32.42</v>
      </c>
      <c r="BD31" s="158">
        <v>443525</v>
      </c>
      <c r="BE31" s="230">
        <f>BC31*BD31</f>
        <v>14379080.5</v>
      </c>
      <c r="BF31" s="215">
        <v>33.369999999999997</v>
      </c>
      <c r="BG31" s="158">
        <v>443525</v>
      </c>
      <c r="BH31" s="157">
        <f>BF31*BG31</f>
        <v>14800429.249999998</v>
      </c>
      <c r="BI31" s="215">
        <v>33.840000000000003</v>
      </c>
      <c r="BJ31" s="158">
        <v>443525</v>
      </c>
      <c r="BK31" s="157">
        <f>BI31*BJ31</f>
        <v>15008886.000000002</v>
      </c>
      <c r="BL31" s="215">
        <v>34.03</v>
      </c>
      <c r="BM31" s="158">
        <v>443525</v>
      </c>
      <c r="BN31" s="157">
        <f>BL31*BM31</f>
        <v>15093155.75</v>
      </c>
      <c r="BO31" s="215">
        <v>35.58</v>
      </c>
      <c r="BP31" s="158">
        <v>443525</v>
      </c>
      <c r="BQ31" s="157">
        <f>BO31*BP31</f>
        <v>15780619.5</v>
      </c>
      <c r="BR31" s="215">
        <v>35.229999999999997</v>
      </c>
      <c r="BS31" s="158">
        <v>443525</v>
      </c>
      <c r="BT31" s="230">
        <f>BR31*BS31</f>
        <v>15625385.749999998</v>
      </c>
      <c r="BU31" s="215">
        <v>35.090000000000003</v>
      </c>
      <c r="BV31" s="158">
        <v>443525</v>
      </c>
      <c r="BW31" s="157">
        <f>BU31*BV31</f>
        <v>15563292.250000002</v>
      </c>
      <c r="BX31" s="215">
        <v>35.380000000000003</v>
      </c>
      <c r="BY31" s="158">
        <v>443525</v>
      </c>
      <c r="BZ31" s="157">
        <f>BX31*BY31</f>
        <v>15691914.500000002</v>
      </c>
      <c r="CA31" s="215">
        <v>34.950000000000003</v>
      </c>
      <c r="CB31" s="158">
        <v>443525</v>
      </c>
      <c r="CC31" s="157">
        <f>CA31*CB31</f>
        <v>15501198.750000002</v>
      </c>
      <c r="CD31" s="215">
        <v>34.9</v>
      </c>
      <c r="CE31" s="158">
        <v>443525</v>
      </c>
      <c r="CF31" s="157">
        <f>CD31*CE31</f>
        <v>15479022.5</v>
      </c>
      <c r="CG31" s="215">
        <v>34.47</v>
      </c>
      <c r="CH31" s="158">
        <v>443525</v>
      </c>
      <c r="CI31" s="230">
        <f>CG31*CH31</f>
        <v>15288306.75</v>
      </c>
      <c r="CJ31" s="215">
        <v>34.01</v>
      </c>
      <c r="CK31" s="158">
        <v>443525</v>
      </c>
      <c r="CL31" s="157">
        <f>CJ31*CK31</f>
        <v>15084285.25</v>
      </c>
      <c r="CM31" s="215">
        <v>34.1</v>
      </c>
      <c r="CN31" s="158">
        <v>443525</v>
      </c>
      <c r="CO31" s="157">
        <f>CM31*CN31</f>
        <v>15124202.5</v>
      </c>
      <c r="CP31" s="215">
        <v>34.18</v>
      </c>
      <c r="CQ31" s="158">
        <v>443525</v>
      </c>
      <c r="CR31" s="157">
        <f>CP31*CQ31</f>
        <v>15159684.5</v>
      </c>
      <c r="CS31" s="215">
        <v>34.450000000000003</v>
      </c>
      <c r="CT31" s="158">
        <v>443525</v>
      </c>
      <c r="CU31" s="230">
        <f>CS31*CT31</f>
        <v>15279436.250000002</v>
      </c>
      <c r="CV31" s="215">
        <v>34.369999999999997</v>
      </c>
      <c r="CW31" s="158">
        <v>443525</v>
      </c>
      <c r="CX31" s="157">
        <f>CV31*CW31</f>
        <v>15243954.249999998</v>
      </c>
      <c r="CY31" s="215">
        <v>34.200000000000003</v>
      </c>
      <c r="CZ31" s="158">
        <v>443525</v>
      </c>
      <c r="DA31" s="157">
        <f>CY31*CZ31</f>
        <v>15168555.000000002</v>
      </c>
      <c r="DB31" s="215">
        <v>34.03</v>
      </c>
      <c r="DC31" s="158">
        <v>443525</v>
      </c>
      <c r="DD31" s="157">
        <f>DB31*DC31</f>
        <v>15093155.75</v>
      </c>
      <c r="DE31" s="215">
        <v>33.47</v>
      </c>
      <c r="DF31" s="158">
        <v>443525</v>
      </c>
      <c r="DG31" s="157">
        <f>DE31*DF31</f>
        <v>14844781.75</v>
      </c>
      <c r="DH31" s="215">
        <v>33.76</v>
      </c>
      <c r="DI31" s="158">
        <v>443525</v>
      </c>
      <c r="DJ31" s="230">
        <f>DH31*DI31</f>
        <v>14973404</v>
      </c>
      <c r="DK31" s="215">
        <v>33.799999999999997</v>
      </c>
      <c r="DL31" s="158">
        <v>443525</v>
      </c>
      <c r="DM31" s="157">
        <f>DK31*DL31</f>
        <v>14991144.999999998</v>
      </c>
    </row>
    <row r="32" spans="2:117" ht="15.5" x14ac:dyDescent="0.35">
      <c r="B32" s="154">
        <v>2</v>
      </c>
      <c r="C32" s="213" t="s">
        <v>11</v>
      </c>
      <c r="D32" s="216">
        <v>77.8</v>
      </c>
      <c r="E32" s="159">
        <v>165605</v>
      </c>
      <c r="F32" s="157">
        <f t="shared" ref="F32:F42" si="3">D32*E32</f>
        <v>12884069</v>
      </c>
      <c r="G32" s="216">
        <v>78.34</v>
      </c>
      <c r="H32" s="159">
        <v>165605</v>
      </c>
      <c r="I32" s="157">
        <f t="shared" ref="I32:I42" si="4">G32*H32</f>
        <v>12973495.700000001</v>
      </c>
      <c r="J32" s="216">
        <v>78.75</v>
      </c>
      <c r="K32" s="159">
        <v>165605</v>
      </c>
      <c r="L32" s="157">
        <f t="shared" ref="L32:L42" si="5">J32*K32</f>
        <v>13041393.75</v>
      </c>
      <c r="M32" s="216">
        <v>79.760000000000005</v>
      </c>
      <c r="N32" s="159">
        <v>165605</v>
      </c>
      <c r="O32" s="157">
        <f t="shared" si="2"/>
        <v>13208654.800000001</v>
      </c>
      <c r="P32" s="216">
        <v>80.040000000000006</v>
      </c>
      <c r="Q32" s="159">
        <v>165605</v>
      </c>
      <c r="R32" s="157">
        <f t="shared" ref="R32:R42" si="6">P32*Q32</f>
        <v>13255024.200000001</v>
      </c>
      <c r="S32" s="216">
        <v>80.87</v>
      </c>
      <c r="T32" s="159">
        <v>165605</v>
      </c>
      <c r="U32" s="157">
        <f t="shared" ref="U32:U42" si="7">S32*T32</f>
        <v>13392476.350000001</v>
      </c>
      <c r="V32" s="216">
        <v>80.150000000000006</v>
      </c>
      <c r="W32" s="159">
        <v>165605</v>
      </c>
      <c r="X32" s="157">
        <f t="shared" ref="X32:X42" si="8">V32*W32</f>
        <v>13273240.750000002</v>
      </c>
      <c r="Y32" s="216">
        <v>80.08</v>
      </c>
      <c r="Z32" s="159">
        <v>165605</v>
      </c>
      <c r="AA32" s="157">
        <f t="shared" ref="AA32:AA42" si="9">Y32*Z32</f>
        <v>13261648.4</v>
      </c>
      <c r="AB32" s="216">
        <v>79.27</v>
      </c>
      <c r="AC32" s="159">
        <v>165605</v>
      </c>
      <c r="AD32" s="157">
        <f t="shared" ref="AD32:AD42" si="10">AB32*AC32</f>
        <v>13127508.35</v>
      </c>
      <c r="AE32" s="216">
        <v>77.64</v>
      </c>
      <c r="AF32" s="159">
        <v>165605</v>
      </c>
      <c r="AG32" s="157">
        <f t="shared" ref="AG32:AG42" si="11">AE32*AF32</f>
        <v>12857572.199999999</v>
      </c>
      <c r="AH32" s="216">
        <v>80.5</v>
      </c>
      <c r="AI32" s="159">
        <v>165605</v>
      </c>
      <c r="AJ32" s="157">
        <f t="shared" ref="AJ32:AJ42" si="12">AH32*AI32</f>
        <v>13331202.5</v>
      </c>
      <c r="AK32" s="216">
        <v>79.739999999999995</v>
      </c>
      <c r="AL32" s="159">
        <v>165605</v>
      </c>
      <c r="AM32" s="157">
        <f t="shared" ref="AM32:AM42" si="13">AK32*AL32</f>
        <v>13205342.699999999</v>
      </c>
      <c r="AN32" s="216">
        <v>79.900000000000006</v>
      </c>
      <c r="AO32" s="159">
        <v>165605</v>
      </c>
      <c r="AP32" s="230">
        <f t="shared" ref="AP32:AP42" si="14">AN32*AO32</f>
        <v>13231839.500000002</v>
      </c>
      <c r="AQ32" s="216">
        <v>79.19</v>
      </c>
      <c r="AR32" s="159">
        <v>165605</v>
      </c>
      <c r="AS32" s="157">
        <f t="shared" ref="AS32:AS42" si="15">AQ32*AR32</f>
        <v>13114259.949999999</v>
      </c>
      <c r="AT32" s="216">
        <v>79.61</v>
      </c>
      <c r="AU32" s="159">
        <v>165605</v>
      </c>
      <c r="AV32" s="157">
        <f t="shared" ref="AV32:AV42" si="16">AT32*AU32</f>
        <v>13183814.050000001</v>
      </c>
      <c r="AW32" s="216">
        <v>83.97</v>
      </c>
      <c r="AX32" s="159">
        <v>165605</v>
      </c>
      <c r="AY32" s="157">
        <f t="shared" ref="AY32:AY42" si="17">AW32*AX32</f>
        <v>13905851.85</v>
      </c>
      <c r="AZ32" s="216">
        <v>84.18</v>
      </c>
      <c r="BA32" s="159">
        <v>165605</v>
      </c>
      <c r="BB32" s="157">
        <f t="shared" ref="BB32:BB42" si="18">AZ32*BA32</f>
        <v>13940628.9</v>
      </c>
      <c r="BC32" s="216">
        <v>83.72</v>
      </c>
      <c r="BD32" s="159">
        <v>165605</v>
      </c>
      <c r="BE32" s="230">
        <f t="shared" ref="BE32:BE42" si="19">BC32*BD32</f>
        <v>13864450.6</v>
      </c>
      <c r="BF32" s="216">
        <v>87.3</v>
      </c>
      <c r="BG32" s="159">
        <v>165605</v>
      </c>
      <c r="BH32" s="157">
        <f t="shared" ref="BH32:BH42" si="20">BF32*BG32</f>
        <v>14457316.5</v>
      </c>
      <c r="BI32" s="216">
        <v>89.12</v>
      </c>
      <c r="BJ32" s="159">
        <v>165605</v>
      </c>
      <c r="BK32" s="157">
        <f t="shared" ref="BK32:BK42" si="21">BI32*BJ32</f>
        <v>14758717.600000001</v>
      </c>
      <c r="BL32" s="216">
        <v>88.19</v>
      </c>
      <c r="BM32" s="159">
        <v>165605</v>
      </c>
      <c r="BN32" s="157">
        <f t="shared" ref="BN32:BN33" si="22">BL32*BM32</f>
        <v>14604704.949999999</v>
      </c>
      <c r="BO32" s="216">
        <v>90.14</v>
      </c>
      <c r="BP32" s="159">
        <v>165605</v>
      </c>
      <c r="BQ32" s="157">
        <f t="shared" ref="BQ32:BQ42" si="23">BO32*BP32</f>
        <v>14927634.699999999</v>
      </c>
      <c r="BR32" s="216">
        <v>89.5</v>
      </c>
      <c r="BS32" s="159">
        <v>165605</v>
      </c>
      <c r="BT32" s="230">
        <f t="shared" ref="BT32:BT42" si="24">BR32*BS32</f>
        <v>14821647.5</v>
      </c>
      <c r="BU32" s="216">
        <v>90.19</v>
      </c>
      <c r="BV32" s="159">
        <v>165605</v>
      </c>
      <c r="BW32" s="157">
        <f t="shared" ref="BW32:BW42" si="25">BU32*BV32</f>
        <v>14935914.949999999</v>
      </c>
      <c r="BX32" s="216">
        <v>89.47</v>
      </c>
      <c r="BY32" s="159">
        <v>165605</v>
      </c>
      <c r="BZ32" s="157">
        <f t="shared" ref="BZ32:BZ35" si="26">BX32*BY32</f>
        <v>14816679.35</v>
      </c>
      <c r="CA32" s="216">
        <v>87.89</v>
      </c>
      <c r="CB32" s="159">
        <v>165605</v>
      </c>
      <c r="CC32" s="157">
        <f t="shared" ref="CC32:CC33" si="27">CA32*CB32</f>
        <v>14555023.449999999</v>
      </c>
      <c r="CD32" s="216">
        <v>88.53</v>
      </c>
      <c r="CE32" s="159">
        <v>165605</v>
      </c>
      <c r="CF32" s="157">
        <f t="shared" ref="CF32:CF42" si="28">CD32*CE32</f>
        <v>14661010.65</v>
      </c>
      <c r="CG32" s="216">
        <v>88.71</v>
      </c>
      <c r="CH32" s="159">
        <v>165605</v>
      </c>
      <c r="CI32" s="230">
        <f t="shared" ref="CI32:CI42" si="29">CG32*CH32</f>
        <v>14690819.549999999</v>
      </c>
      <c r="CJ32" s="216">
        <v>93.85</v>
      </c>
      <c r="CK32" s="159">
        <v>165605</v>
      </c>
      <c r="CL32" s="157">
        <f t="shared" ref="CL32:CL35" si="30">CJ32*CK32</f>
        <v>15542029.249999998</v>
      </c>
      <c r="CM32" s="216">
        <v>91.44</v>
      </c>
      <c r="CN32" s="159">
        <v>165605</v>
      </c>
      <c r="CO32" s="157">
        <f t="shared" ref="CO32:CO33" si="31">CM32*CN32</f>
        <v>15142921.199999999</v>
      </c>
      <c r="CP32" s="216">
        <v>91.2</v>
      </c>
      <c r="CQ32" s="159">
        <v>165605</v>
      </c>
      <c r="CR32" s="157">
        <f t="shared" ref="CR32:CR42" si="32">CP32*CQ32</f>
        <v>15103176</v>
      </c>
      <c r="CS32" s="216">
        <v>91.04</v>
      </c>
      <c r="CT32" s="159">
        <v>165605</v>
      </c>
      <c r="CU32" s="230">
        <f t="shared" ref="CU32:CU42" si="33">CS32*CT32</f>
        <v>15076679.200000001</v>
      </c>
      <c r="CV32" s="216">
        <v>88.53</v>
      </c>
      <c r="CW32" s="159">
        <v>165605</v>
      </c>
      <c r="CX32" s="157">
        <f t="shared" ref="CX32:CX42" si="34">CV32*CW32</f>
        <v>14661010.65</v>
      </c>
      <c r="CY32" s="216">
        <v>86.51</v>
      </c>
      <c r="CZ32" s="159">
        <v>165605</v>
      </c>
      <c r="DA32" s="157">
        <f t="shared" ref="DA32:DA35" si="35">CY32*CZ32</f>
        <v>14326488.550000001</v>
      </c>
      <c r="DB32" s="216">
        <v>83.19</v>
      </c>
      <c r="DC32" s="159">
        <v>165605</v>
      </c>
      <c r="DD32" s="157">
        <f t="shared" ref="DD32:DD33" si="36">DB32*DC32</f>
        <v>13776679.949999999</v>
      </c>
      <c r="DE32" s="216">
        <v>80.599999999999994</v>
      </c>
      <c r="DF32" s="159">
        <v>165605</v>
      </c>
      <c r="DG32" s="157">
        <f t="shared" ref="DG32:DG42" si="37">DE32*DF32</f>
        <v>13347762.999999998</v>
      </c>
      <c r="DH32" s="216">
        <v>82.01</v>
      </c>
      <c r="DI32" s="159">
        <v>165605</v>
      </c>
      <c r="DJ32" s="230">
        <f t="shared" ref="DJ32:DJ42" si="38">DH32*DI32</f>
        <v>13581266.050000001</v>
      </c>
      <c r="DK32" s="216">
        <v>84.25</v>
      </c>
      <c r="DL32" s="159">
        <v>165605</v>
      </c>
      <c r="DM32" s="157">
        <f t="shared" ref="DM32:DM42" si="39">DK32*DL32</f>
        <v>13952221.25</v>
      </c>
    </row>
    <row r="33" spans="2:117" ht="15.5" x14ac:dyDescent="0.35">
      <c r="B33" s="154">
        <v>3</v>
      </c>
      <c r="C33" s="213" t="s">
        <v>8</v>
      </c>
      <c r="D33" s="216">
        <v>810</v>
      </c>
      <c r="E33" s="159">
        <v>13225</v>
      </c>
      <c r="F33" s="157">
        <f t="shared" si="3"/>
        <v>10712250</v>
      </c>
      <c r="G33" s="216">
        <v>817.1</v>
      </c>
      <c r="H33" s="159">
        <v>13225</v>
      </c>
      <c r="I33" s="157">
        <f t="shared" si="4"/>
        <v>10806147.5</v>
      </c>
      <c r="J33" s="216">
        <v>810.2</v>
      </c>
      <c r="K33" s="159">
        <v>13225</v>
      </c>
      <c r="L33" s="157">
        <f t="shared" si="5"/>
        <v>10714895</v>
      </c>
      <c r="M33" s="216">
        <v>818.95</v>
      </c>
      <c r="N33" s="159">
        <v>13225</v>
      </c>
      <c r="O33" s="157">
        <f t="shared" si="2"/>
        <v>10830613.75</v>
      </c>
      <c r="P33" s="216">
        <v>825.95</v>
      </c>
      <c r="Q33" s="159">
        <v>13225</v>
      </c>
      <c r="R33" s="157">
        <f t="shared" si="6"/>
        <v>10923188.75</v>
      </c>
      <c r="S33" s="216">
        <v>840.15</v>
      </c>
      <c r="T33" s="159">
        <v>13225</v>
      </c>
      <c r="U33" s="157">
        <f t="shared" si="7"/>
        <v>11110983.75</v>
      </c>
      <c r="V33" s="216">
        <v>835.5</v>
      </c>
      <c r="W33" s="159">
        <v>13225</v>
      </c>
      <c r="X33" s="157">
        <f t="shared" si="8"/>
        <v>11049487.5</v>
      </c>
      <c r="Y33" s="216">
        <v>833.35</v>
      </c>
      <c r="Z33" s="159">
        <v>13225</v>
      </c>
      <c r="AA33" s="157">
        <f t="shared" si="9"/>
        <v>11021053.75</v>
      </c>
      <c r="AB33" s="216">
        <v>833</v>
      </c>
      <c r="AC33" s="159">
        <v>13225</v>
      </c>
      <c r="AD33" s="157">
        <f t="shared" si="10"/>
        <v>11016425</v>
      </c>
      <c r="AE33" s="216">
        <v>809.75</v>
      </c>
      <c r="AF33" s="159">
        <v>13225</v>
      </c>
      <c r="AG33" s="157">
        <f t="shared" si="11"/>
        <v>10708943.75</v>
      </c>
      <c r="AH33" s="216">
        <v>878.3</v>
      </c>
      <c r="AI33" s="159">
        <v>13225</v>
      </c>
      <c r="AJ33" s="157">
        <f t="shared" si="12"/>
        <v>11615517.5</v>
      </c>
      <c r="AK33" s="216">
        <v>847.9</v>
      </c>
      <c r="AL33" s="159">
        <v>13225</v>
      </c>
      <c r="AM33" s="157">
        <f t="shared" si="13"/>
        <v>11213477.5</v>
      </c>
      <c r="AN33" s="216">
        <v>848.25</v>
      </c>
      <c r="AO33" s="159">
        <v>13225</v>
      </c>
      <c r="AP33" s="230">
        <f t="shared" si="14"/>
        <v>11218106.25</v>
      </c>
      <c r="AQ33" s="216">
        <v>842.05</v>
      </c>
      <c r="AR33" s="159">
        <v>13225</v>
      </c>
      <c r="AS33" s="157">
        <f t="shared" si="15"/>
        <v>11136111.25</v>
      </c>
      <c r="AT33" s="216">
        <v>843</v>
      </c>
      <c r="AU33" s="159">
        <v>13225</v>
      </c>
      <c r="AV33" s="157">
        <f t="shared" si="16"/>
        <v>11148675</v>
      </c>
      <c r="AW33" s="216">
        <v>874.95</v>
      </c>
      <c r="AX33" s="159">
        <v>13225</v>
      </c>
      <c r="AY33" s="157">
        <f t="shared" si="17"/>
        <v>11571213.75</v>
      </c>
      <c r="AZ33" s="216">
        <v>833.45</v>
      </c>
      <c r="BA33" s="159">
        <v>13225</v>
      </c>
      <c r="BB33" s="157">
        <f t="shared" si="18"/>
        <v>11022376.25</v>
      </c>
      <c r="BC33" s="216">
        <v>825.65</v>
      </c>
      <c r="BD33" s="159">
        <v>13225</v>
      </c>
      <c r="BE33" s="230">
        <f t="shared" si="19"/>
        <v>10919221.25</v>
      </c>
      <c r="BF33" s="216">
        <v>845.5</v>
      </c>
      <c r="BG33" s="159">
        <v>13225</v>
      </c>
      <c r="BH33" s="157">
        <f t="shared" si="20"/>
        <v>11181737.5</v>
      </c>
      <c r="BI33" s="216">
        <v>849.6</v>
      </c>
      <c r="BJ33" s="159">
        <v>13225</v>
      </c>
      <c r="BK33" s="157">
        <f t="shared" si="21"/>
        <v>11235960</v>
      </c>
      <c r="BL33" s="216">
        <v>853.3</v>
      </c>
      <c r="BM33" s="159">
        <v>13225</v>
      </c>
      <c r="BN33" s="157">
        <f t="shared" si="22"/>
        <v>11284892.5</v>
      </c>
      <c r="BO33" s="216">
        <v>876.35</v>
      </c>
      <c r="BP33" s="159">
        <v>13225</v>
      </c>
      <c r="BQ33" s="157">
        <f t="shared" si="23"/>
        <v>11589728.75</v>
      </c>
      <c r="BR33" s="216">
        <v>875.7</v>
      </c>
      <c r="BS33" s="159">
        <v>13225</v>
      </c>
      <c r="BT33" s="230">
        <f t="shared" si="24"/>
        <v>11581132.5</v>
      </c>
      <c r="BU33" s="216">
        <v>870.65</v>
      </c>
      <c r="BV33" s="159">
        <v>13225</v>
      </c>
      <c r="BW33" s="157">
        <f t="shared" si="25"/>
        <v>11514346.25</v>
      </c>
      <c r="BX33" s="216">
        <v>861.1</v>
      </c>
      <c r="BY33" s="159">
        <v>13225</v>
      </c>
      <c r="BZ33" s="157">
        <f t="shared" si="26"/>
        <v>11388047.5</v>
      </c>
      <c r="CA33" s="216">
        <v>846.4</v>
      </c>
      <c r="CB33" s="159">
        <v>13225</v>
      </c>
      <c r="CC33" s="157">
        <f t="shared" si="27"/>
        <v>11193640</v>
      </c>
      <c r="CD33" s="216">
        <v>843.65</v>
      </c>
      <c r="CE33" s="159">
        <v>13225</v>
      </c>
      <c r="CF33" s="157">
        <f t="shared" si="28"/>
        <v>11157271.25</v>
      </c>
      <c r="CG33" s="216">
        <v>832.6</v>
      </c>
      <c r="CH33" s="159">
        <v>13225</v>
      </c>
      <c r="CI33" s="230">
        <f t="shared" si="29"/>
        <v>11011135</v>
      </c>
      <c r="CJ33" s="216">
        <v>814.7</v>
      </c>
      <c r="CK33" s="159">
        <v>13225</v>
      </c>
      <c r="CL33" s="157">
        <f t="shared" si="30"/>
        <v>10774407.5</v>
      </c>
      <c r="CM33" s="216">
        <v>816.65</v>
      </c>
      <c r="CN33" s="159">
        <v>13225</v>
      </c>
      <c r="CO33" s="157">
        <f t="shared" si="31"/>
        <v>10800196.25</v>
      </c>
      <c r="CP33" s="216">
        <v>820.95</v>
      </c>
      <c r="CQ33" s="159">
        <v>13225</v>
      </c>
      <c r="CR33" s="157">
        <f t="shared" si="32"/>
        <v>10857063.75</v>
      </c>
      <c r="CS33" s="216">
        <v>815.1</v>
      </c>
      <c r="CT33" s="159">
        <v>13225</v>
      </c>
      <c r="CU33" s="230">
        <f t="shared" si="33"/>
        <v>10779697.5</v>
      </c>
      <c r="CV33" s="216">
        <v>798.95</v>
      </c>
      <c r="CW33" s="159">
        <v>13225</v>
      </c>
      <c r="CX33" s="157">
        <f t="shared" si="34"/>
        <v>10566113.75</v>
      </c>
      <c r="CY33" s="216">
        <v>786.9</v>
      </c>
      <c r="CZ33" s="159">
        <v>13225</v>
      </c>
      <c r="DA33" s="157">
        <f t="shared" si="35"/>
        <v>10406752.5</v>
      </c>
      <c r="DB33" s="216">
        <v>785.95</v>
      </c>
      <c r="DC33" s="159">
        <v>13225</v>
      </c>
      <c r="DD33" s="157">
        <f t="shared" si="36"/>
        <v>10394188.75</v>
      </c>
      <c r="DE33" s="216">
        <v>772.4</v>
      </c>
      <c r="DF33" s="159">
        <v>13225</v>
      </c>
      <c r="DG33" s="157">
        <f t="shared" si="37"/>
        <v>10214990</v>
      </c>
      <c r="DH33" s="216">
        <v>793.15</v>
      </c>
      <c r="DI33" s="159">
        <v>13225</v>
      </c>
      <c r="DJ33" s="230">
        <f t="shared" si="38"/>
        <v>10489408.75</v>
      </c>
      <c r="DK33" s="216">
        <v>870.7</v>
      </c>
      <c r="DL33" s="159">
        <v>13225</v>
      </c>
      <c r="DM33" s="157">
        <f t="shared" si="39"/>
        <v>11515007.5</v>
      </c>
    </row>
    <row r="34" spans="2:117" ht="15.5" x14ac:dyDescent="0.35">
      <c r="B34" s="154">
        <v>4</v>
      </c>
      <c r="C34" s="213" t="s">
        <v>3</v>
      </c>
      <c r="D34" s="216">
        <v>939.4</v>
      </c>
      <c r="E34" s="159">
        <v>10205</v>
      </c>
      <c r="F34" s="157">
        <f t="shared" si="3"/>
        <v>9586577</v>
      </c>
      <c r="G34" s="216">
        <v>948.8</v>
      </c>
      <c r="H34" s="159">
        <v>10205</v>
      </c>
      <c r="I34" s="157">
        <f t="shared" si="4"/>
        <v>9682504</v>
      </c>
      <c r="J34" s="216">
        <v>950.9</v>
      </c>
      <c r="K34" s="159">
        <v>10205</v>
      </c>
      <c r="L34" s="157">
        <f t="shared" si="5"/>
        <v>9703934.5</v>
      </c>
      <c r="M34" s="216">
        <v>950.9</v>
      </c>
      <c r="N34" s="159">
        <v>10205</v>
      </c>
      <c r="O34" s="157">
        <f t="shared" si="2"/>
        <v>9703934.5</v>
      </c>
      <c r="P34" s="216">
        <v>949.2</v>
      </c>
      <c r="Q34" s="159">
        <v>10205</v>
      </c>
      <c r="R34" s="157">
        <f t="shared" si="6"/>
        <v>9686586</v>
      </c>
      <c r="S34" s="216">
        <v>969.6</v>
      </c>
      <c r="T34" s="159">
        <v>10205</v>
      </c>
      <c r="U34" s="157">
        <f t="shared" si="7"/>
        <v>9894768</v>
      </c>
      <c r="V34" s="216">
        <v>968.6</v>
      </c>
      <c r="W34" s="159">
        <v>10205</v>
      </c>
      <c r="X34" s="157">
        <f t="shared" si="8"/>
        <v>9884563</v>
      </c>
      <c r="Y34" s="216">
        <v>967.8</v>
      </c>
      <c r="Z34" s="159">
        <v>10205</v>
      </c>
      <c r="AA34" s="157">
        <f t="shared" si="9"/>
        <v>9876399</v>
      </c>
      <c r="AB34" s="216">
        <v>964.4</v>
      </c>
      <c r="AC34" s="159">
        <v>10205</v>
      </c>
      <c r="AD34" s="157">
        <f t="shared" si="10"/>
        <v>9841702</v>
      </c>
      <c r="AE34" s="216">
        <v>954.1</v>
      </c>
      <c r="AF34" s="159">
        <v>10205</v>
      </c>
      <c r="AG34" s="157">
        <f t="shared" si="11"/>
        <v>9736590.5</v>
      </c>
      <c r="AH34" s="216">
        <v>956.65</v>
      </c>
      <c r="AI34" s="159">
        <v>10205</v>
      </c>
      <c r="AJ34" s="157">
        <f t="shared" si="12"/>
        <v>9762613.25</v>
      </c>
      <c r="AK34" s="216">
        <v>954.1</v>
      </c>
      <c r="AL34" s="159">
        <v>10205</v>
      </c>
      <c r="AM34" s="157">
        <f t="shared" si="13"/>
        <v>9736590.5</v>
      </c>
      <c r="AN34" s="216">
        <v>979.25</v>
      </c>
      <c r="AO34" s="159">
        <v>10205</v>
      </c>
      <c r="AP34" s="230">
        <f t="shared" si="14"/>
        <v>9993246.25</v>
      </c>
      <c r="AQ34" s="216">
        <v>978</v>
      </c>
      <c r="AR34" s="159">
        <v>10205</v>
      </c>
      <c r="AS34" s="157">
        <f t="shared" si="15"/>
        <v>9980490</v>
      </c>
      <c r="AT34" s="216">
        <v>981.95</v>
      </c>
      <c r="AU34" s="159">
        <v>10205</v>
      </c>
      <c r="AV34" s="157">
        <f t="shared" si="16"/>
        <v>10020799.75</v>
      </c>
      <c r="AW34" s="216">
        <v>1002.7</v>
      </c>
      <c r="AX34" s="159">
        <v>10205</v>
      </c>
      <c r="AY34" s="157">
        <f>AW34*AX34</f>
        <v>10232553.5</v>
      </c>
      <c r="AZ34" s="216">
        <v>1003.25</v>
      </c>
      <c r="BA34" s="159">
        <v>10205</v>
      </c>
      <c r="BB34" s="157">
        <f t="shared" si="18"/>
        <v>10238166.25</v>
      </c>
      <c r="BC34" s="216">
        <v>1000.7</v>
      </c>
      <c r="BD34" s="159">
        <v>10205</v>
      </c>
      <c r="BE34" s="230">
        <f t="shared" si="19"/>
        <v>10212143.5</v>
      </c>
      <c r="BF34" s="216">
        <v>1017.15</v>
      </c>
      <c r="BG34" s="159">
        <v>10205</v>
      </c>
      <c r="BH34" s="157">
        <f t="shared" si="20"/>
        <v>10380015.75</v>
      </c>
      <c r="BI34" s="216">
        <v>1020.85</v>
      </c>
      <c r="BJ34" s="159">
        <v>10205</v>
      </c>
      <c r="BK34" s="157">
        <f t="shared" si="21"/>
        <v>10417774.25</v>
      </c>
      <c r="BL34" s="216">
        <v>1015.3</v>
      </c>
      <c r="BM34" s="159">
        <v>10205</v>
      </c>
      <c r="BN34" s="157">
        <f>BL34*BM34</f>
        <v>10361136.5</v>
      </c>
      <c r="BO34" s="216">
        <v>1026.5</v>
      </c>
      <c r="BP34" s="159">
        <v>10205</v>
      </c>
      <c r="BQ34" s="157">
        <f t="shared" si="23"/>
        <v>10475432.5</v>
      </c>
      <c r="BR34" s="216">
        <v>1042.7</v>
      </c>
      <c r="BS34" s="159">
        <v>10205</v>
      </c>
      <c r="BT34" s="230">
        <f t="shared" si="24"/>
        <v>10640753.5</v>
      </c>
      <c r="BU34" s="216">
        <v>1035.0999999999999</v>
      </c>
      <c r="BV34" s="159">
        <v>10205</v>
      </c>
      <c r="BW34" s="157">
        <f t="shared" si="25"/>
        <v>10563195.5</v>
      </c>
      <c r="BX34" s="220">
        <v>1040.75</v>
      </c>
      <c r="BY34" s="159">
        <v>10205</v>
      </c>
      <c r="BZ34" s="157">
        <f t="shared" si="26"/>
        <v>10620853.75</v>
      </c>
      <c r="CA34" s="216">
        <v>1024.2</v>
      </c>
      <c r="CB34" s="159">
        <v>10205</v>
      </c>
      <c r="CC34" s="157">
        <f>CA34*CB34</f>
        <v>10451961</v>
      </c>
      <c r="CD34" s="216">
        <v>1034.5999999999999</v>
      </c>
      <c r="CE34" s="159">
        <v>10205</v>
      </c>
      <c r="CF34" s="157">
        <f t="shared" si="28"/>
        <v>10558093</v>
      </c>
      <c r="CG34" s="216">
        <v>1045</v>
      </c>
      <c r="CH34" s="159">
        <v>10205</v>
      </c>
      <c r="CI34" s="230">
        <f t="shared" si="29"/>
        <v>10664225</v>
      </c>
      <c r="CJ34" s="216">
        <v>1036.0999999999999</v>
      </c>
      <c r="CK34" s="159">
        <v>10205</v>
      </c>
      <c r="CL34" s="157">
        <f t="shared" si="30"/>
        <v>10573400.5</v>
      </c>
      <c r="CM34" s="216">
        <v>1026.9000000000001</v>
      </c>
      <c r="CN34" s="159">
        <v>10205</v>
      </c>
      <c r="CO34" s="157">
        <f>CM34*CN34</f>
        <v>10479514.5</v>
      </c>
      <c r="CP34" s="216">
        <v>1047.4000000000001</v>
      </c>
      <c r="CQ34" s="159">
        <v>10205</v>
      </c>
      <c r="CR34" s="157">
        <f t="shared" si="32"/>
        <v>10688717</v>
      </c>
      <c r="CS34" s="216">
        <v>1051.5999999999999</v>
      </c>
      <c r="CT34" s="159">
        <v>10205</v>
      </c>
      <c r="CU34" s="230">
        <f t="shared" si="33"/>
        <v>10731578</v>
      </c>
      <c r="CV34" s="216">
        <v>1040</v>
      </c>
      <c r="CW34" s="159">
        <v>10205</v>
      </c>
      <c r="CX34" s="157">
        <f t="shared" si="34"/>
        <v>10613200</v>
      </c>
      <c r="CY34" s="216">
        <v>1037.7</v>
      </c>
      <c r="CZ34" s="159">
        <v>10205</v>
      </c>
      <c r="DA34" s="157">
        <f t="shared" si="35"/>
        <v>10589728.5</v>
      </c>
      <c r="DB34" s="216">
        <v>1038.0999999999999</v>
      </c>
      <c r="DC34" s="159">
        <v>10205</v>
      </c>
      <c r="DD34" s="157">
        <f>DB34*DC34</f>
        <v>10593810.5</v>
      </c>
      <c r="DE34" s="216">
        <v>1016.9</v>
      </c>
      <c r="DF34" s="159">
        <v>10205</v>
      </c>
      <c r="DG34" s="157">
        <f t="shared" si="37"/>
        <v>10377464.5</v>
      </c>
      <c r="DH34" s="216">
        <v>1022.1</v>
      </c>
      <c r="DI34" s="159">
        <v>10205</v>
      </c>
      <c r="DJ34" s="230">
        <f t="shared" si="38"/>
        <v>10430530.5</v>
      </c>
      <c r="DK34" s="216">
        <v>1036</v>
      </c>
      <c r="DL34" s="159">
        <v>10205</v>
      </c>
      <c r="DM34" s="157">
        <f t="shared" si="39"/>
        <v>10572380</v>
      </c>
    </row>
    <row r="35" spans="2:117" ht="15.5" x14ac:dyDescent="0.35">
      <c r="B35" s="154">
        <v>5</v>
      </c>
      <c r="C35" s="213" t="s">
        <v>4</v>
      </c>
      <c r="D35" s="216">
        <v>260.05</v>
      </c>
      <c r="E35" s="159">
        <v>33607</v>
      </c>
      <c r="F35" s="157">
        <f t="shared" si="3"/>
        <v>8739500.3499999996</v>
      </c>
      <c r="G35" s="216">
        <v>260.60000000000002</v>
      </c>
      <c r="H35" s="159">
        <v>33607</v>
      </c>
      <c r="I35" s="157">
        <f t="shared" si="4"/>
        <v>8757984.2000000011</v>
      </c>
      <c r="J35" s="216">
        <v>263.55</v>
      </c>
      <c r="K35" s="159">
        <v>33607</v>
      </c>
      <c r="L35" s="157">
        <f t="shared" si="5"/>
        <v>8857124.8499999996</v>
      </c>
      <c r="M35" s="216">
        <v>263.10000000000002</v>
      </c>
      <c r="N35" s="159">
        <v>33607</v>
      </c>
      <c r="O35" s="157">
        <f t="shared" si="2"/>
        <v>8842001.7000000011</v>
      </c>
      <c r="P35" s="216">
        <v>265.39999999999998</v>
      </c>
      <c r="Q35" s="159">
        <v>33607</v>
      </c>
      <c r="R35" s="157">
        <f t="shared" si="6"/>
        <v>8919297.7999999989</v>
      </c>
      <c r="S35" s="216">
        <v>272.25</v>
      </c>
      <c r="T35" s="159">
        <v>33607</v>
      </c>
      <c r="U35" s="157">
        <f t="shared" si="7"/>
        <v>9149505.75</v>
      </c>
      <c r="V35" s="216">
        <v>270.5</v>
      </c>
      <c r="W35" s="159">
        <v>33607</v>
      </c>
      <c r="X35" s="157">
        <f t="shared" si="8"/>
        <v>9090693.5</v>
      </c>
      <c r="Y35" s="216">
        <v>270.95</v>
      </c>
      <c r="Z35" s="159">
        <v>33607</v>
      </c>
      <c r="AA35" s="157">
        <f t="shared" si="9"/>
        <v>9105816.6500000004</v>
      </c>
      <c r="AB35" s="216">
        <v>268.5</v>
      </c>
      <c r="AC35" s="159">
        <v>33607</v>
      </c>
      <c r="AD35" s="157">
        <f t="shared" si="10"/>
        <v>9023479.5</v>
      </c>
      <c r="AE35" s="216">
        <v>264.35000000000002</v>
      </c>
      <c r="AF35" s="159">
        <v>33607</v>
      </c>
      <c r="AG35" s="157">
        <f t="shared" si="11"/>
        <v>8884010.4500000011</v>
      </c>
      <c r="AH35" s="216">
        <v>265.8</v>
      </c>
      <c r="AI35" s="159">
        <v>33607</v>
      </c>
      <c r="AJ35" s="157">
        <f t="shared" si="12"/>
        <v>8932740.5999999996</v>
      </c>
      <c r="AK35" s="216">
        <v>268.85000000000002</v>
      </c>
      <c r="AL35" s="159">
        <v>33607</v>
      </c>
      <c r="AM35" s="157">
        <f t="shared" si="13"/>
        <v>9035241.9500000011</v>
      </c>
      <c r="AN35" s="216">
        <v>271.3</v>
      </c>
      <c r="AO35" s="159">
        <v>33607</v>
      </c>
      <c r="AP35" s="230">
        <f t="shared" si="14"/>
        <v>9117579.0999999996</v>
      </c>
      <c r="AQ35" s="216">
        <v>263.7</v>
      </c>
      <c r="AR35" s="159">
        <v>33607</v>
      </c>
      <c r="AS35" s="157">
        <f t="shared" si="15"/>
        <v>8862165.9000000004</v>
      </c>
      <c r="AT35" s="216">
        <v>259.25</v>
      </c>
      <c r="AU35" s="159">
        <v>33607</v>
      </c>
      <c r="AV35" s="157">
        <f t="shared" si="16"/>
        <v>8712614.75</v>
      </c>
      <c r="AW35" s="216">
        <v>273.8</v>
      </c>
      <c r="AX35" s="159">
        <v>33607</v>
      </c>
      <c r="AY35" s="157">
        <f>AW35*AX35</f>
        <v>9201596.5999999996</v>
      </c>
      <c r="AZ35" s="216">
        <v>269.3</v>
      </c>
      <c r="BA35" s="159">
        <v>33607</v>
      </c>
      <c r="BB35" s="157">
        <f t="shared" si="18"/>
        <v>9050365.0999999996</v>
      </c>
      <c r="BC35" s="216">
        <v>267.60000000000002</v>
      </c>
      <c r="BD35" s="159">
        <v>33607</v>
      </c>
      <c r="BE35" s="230">
        <f t="shared" si="19"/>
        <v>8993233.2000000011</v>
      </c>
      <c r="BF35" s="216">
        <v>274.75</v>
      </c>
      <c r="BG35" s="159">
        <v>33607</v>
      </c>
      <c r="BH35" s="157">
        <f t="shared" si="20"/>
        <v>9233523.25</v>
      </c>
      <c r="BI35" s="216">
        <v>276.05</v>
      </c>
      <c r="BJ35" s="159">
        <v>33607</v>
      </c>
      <c r="BK35" s="157">
        <f t="shared" si="21"/>
        <v>9277212.3499999996</v>
      </c>
      <c r="BL35" s="216">
        <v>275.35000000000002</v>
      </c>
      <c r="BM35" s="159">
        <v>33607</v>
      </c>
      <c r="BN35" s="157">
        <f>BL35*BM35</f>
        <v>9253687.4500000011</v>
      </c>
      <c r="BO35" s="216">
        <v>281.85000000000002</v>
      </c>
      <c r="BP35" s="159">
        <v>33607</v>
      </c>
      <c r="BQ35" s="157">
        <f t="shared" si="23"/>
        <v>9472132.9500000011</v>
      </c>
      <c r="BR35" s="216">
        <v>283</v>
      </c>
      <c r="BS35" s="159">
        <v>33607</v>
      </c>
      <c r="BT35" s="230">
        <f t="shared" si="24"/>
        <v>9510781</v>
      </c>
      <c r="BU35" s="216">
        <v>281.05</v>
      </c>
      <c r="BV35" s="159">
        <v>33607</v>
      </c>
      <c r="BW35" s="157">
        <f t="shared" si="25"/>
        <v>9445247.3499999996</v>
      </c>
      <c r="BX35" s="216">
        <v>286.05</v>
      </c>
      <c r="BY35" s="159">
        <v>33607</v>
      </c>
      <c r="BZ35" s="157">
        <f t="shared" si="26"/>
        <v>9613282.3499999996</v>
      </c>
      <c r="CA35" s="216">
        <v>277.8</v>
      </c>
      <c r="CB35" s="159">
        <v>33607</v>
      </c>
      <c r="CC35" s="157">
        <f>CA35*CB35</f>
        <v>9336024.5999999996</v>
      </c>
      <c r="CD35" s="216">
        <v>279.89999999999998</v>
      </c>
      <c r="CE35" s="159">
        <v>33607</v>
      </c>
      <c r="CF35" s="157">
        <f t="shared" si="28"/>
        <v>9406599.2999999989</v>
      </c>
      <c r="CG35" s="216">
        <v>279.14999999999998</v>
      </c>
      <c r="CH35" s="159">
        <v>33607</v>
      </c>
      <c r="CI35" s="230">
        <f t="shared" si="29"/>
        <v>9381394.0499999989</v>
      </c>
      <c r="CJ35" s="216">
        <v>272.8</v>
      </c>
      <c r="CK35" s="159">
        <v>33607</v>
      </c>
      <c r="CL35" s="157">
        <f t="shared" si="30"/>
        <v>9167989.5999999996</v>
      </c>
      <c r="CM35" s="216">
        <v>272.8</v>
      </c>
      <c r="CN35" s="159">
        <v>33607</v>
      </c>
      <c r="CO35" s="157">
        <f>CM35*CN35</f>
        <v>9167989.5999999996</v>
      </c>
      <c r="CP35" s="216">
        <v>272.39999999999998</v>
      </c>
      <c r="CQ35" s="159">
        <v>33607</v>
      </c>
      <c r="CR35" s="157">
        <f t="shared" si="32"/>
        <v>9154546.7999999989</v>
      </c>
      <c r="CS35" s="216">
        <v>271.64999999999998</v>
      </c>
      <c r="CT35" s="159">
        <v>33607</v>
      </c>
      <c r="CU35" s="230">
        <f t="shared" si="33"/>
        <v>9129341.5499999989</v>
      </c>
      <c r="CV35" s="216">
        <v>252.2</v>
      </c>
      <c r="CW35" s="159">
        <v>33607</v>
      </c>
      <c r="CX35" s="157">
        <f t="shared" si="34"/>
        <v>8475685.4000000004</v>
      </c>
      <c r="CY35" s="216">
        <v>249.95</v>
      </c>
      <c r="CZ35" s="159">
        <v>33607</v>
      </c>
      <c r="DA35" s="157">
        <f t="shared" si="35"/>
        <v>8400069.6500000004</v>
      </c>
      <c r="DB35" s="216">
        <v>247.85</v>
      </c>
      <c r="DC35" s="159">
        <v>33607</v>
      </c>
      <c r="DD35" s="157">
        <f>DB35*DC35</f>
        <v>8329494.9500000002</v>
      </c>
      <c r="DE35" s="216">
        <v>240.45</v>
      </c>
      <c r="DF35" s="159">
        <v>33607</v>
      </c>
      <c r="DG35" s="157">
        <f t="shared" si="37"/>
        <v>8080803.1499999994</v>
      </c>
      <c r="DH35" s="216">
        <v>250.95</v>
      </c>
      <c r="DI35" s="159">
        <v>33607</v>
      </c>
      <c r="DJ35" s="230">
        <f t="shared" si="38"/>
        <v>8433676.6500000004</v>
      </c>
      <c r="DK35" s="216">
        <v>244.6</v>
      </c>
      <c r="DL35" s="159">
        <v>33607</v>
      </c>
      <c r="DM35" s="157">
        <f t="shared" si="39"/>
        <v>8220272.2000000002</v>
      </c>
    </row>
    <row r="36" spans="2:117" ht="15.5" x14ac:dyDescent="0.35">
      <c r="B36" s="154">
        <v>6</v>
      </c>
      <c r="C36" s="213" t="s">
        <v>7</v>
      </c>
      <c r="D36" s="216">
        <v>124.9</v>
      </c>
      <c r="E36" s="159">
        <v>61143</v>
      </c>
      <c r="F36" s="157">
        <f t="shared" si="3"/>
        <v>7636760.7000000002</v>
      </c>
      <c r="G36" s="216">
        <v>126.15</v>
      </c>
      <c r="H36" s="159">
        <v>61143</v>
      </c>
      <c r="I36" s="157">
        <f t="shared" si="4"/>
        <v>7713189.4500000002</v>
      </c>
      <c r="J36" s="216">
        <v>127.66</v>
      </c>
      <c r="K36" s="159">
        <v>61143</v>
      </c>
      <c r="L36" s="157">
        <f t="shared" si="5"/>
        <v>7805515.3799999999</v>
      </c>
      <c r="M36" s="216">
        <v>127.97</v>
      </c>
      <c r="N36" s="159">
        <v>61143</v>
      </c>
      <c r="O36" s="157">
        <f t="shared" si="2"/>
        <v>7824469.71</v>
      </c>
      <c r="P36" s="216">
        <v>128.22999999999999</v>
      </c>
      <c r="Q36" s="159">
        <v>61143</v>
      </c>
      <c r="R36" s="157">
        <f t="shared" si="6"/>
        <v>7840366.8899999997</v>
      </c>
      <c r="S36" s="216">
        <v>133.69999999999999</v>
      </c>
      <c r="T36" s="159">
        <v>61143</v>
      </c>
      <c r="U36" s="157">
        <f t="shared" si="7"/>
        <v>8174819.0999999996</v>
      </c>
      <c r="V36" s="216">
        <v>31.04</v>
      </c>
      <c r="W36" s="159">
        <v>61143</v>
      </c>
      <c r="X36" s="157">
        <f t="shared" si="8"/>
        <v>1897878.72</v>
      </c>
      <c r="Y36" s="216">
        <v>30.84</v>
      </c>
      <c r="Z36" s="159">
        <v>61143</v>
      </c>
      <c r="AA36" s="157">
        <f t="shared" si="9"/>
        <v>1885650.1199999999</v>
      </c>
      <c r="AB36" s="216">
        <v>30.77</v>
      </c>
      <c r="AC36" s="159">
        <v>61143</v>
      </c>
      <c r="AD36" s="157">
        <f t="shared" si="10"/>
        <v>1881370.1099999999</v>
      </c>
      <c r="AE36" s="216">
        <v>127.96</v>
      </c>
      <c r="AF36" s="159">
        <v>61143</v>
      </c>
      <c r="AG36" s="157">
        <f t="shared" si="11"/>
        <v>7823858.2799999993</v>
      </c>
      <c r="AH36" s="216">
        <v>129.08000000000001</v>
      </c>
      <c r="AI36" s="159">
        <v>61143</v>
      </c>
      <c r="AJ36" s="157">
        <f t="shared" si="12"/>
        <v>7892338.4400000004</v>
      </c>
      <c r="AK36" s="216">
        <v>131.85</v>
      </c>
      <c r="AL36" s="159">
        <v>61143</v>
      </c>
      <c r="AM36" s="157">
        <f t="shared" si="13"/>
        <v>8061704.5499999998</v>
      </c>
      <c r="AN36" s="216">
        <v>133.12</v>
      </c>
      <c r="AO36" s="159">
        <v>61143</v>
      </c>
      <c r="AP36" s="230">
        <f t="shared" si="14"/>
        <v>8139356.1600000001</v>
      </c>
      <c r="AQ36" s="216">
        <v>135.81</v>
      </c>
      <c r="AR36" s="159">
        <v>61143</v>
      </c>
      <c r="AS36" s="157">
        <f t="shared" si="15"/>
        <v>8303830.8300000001</v>
      </c>
      <c r="AT36" s="216">
        <v>131.91</v>
      </c>
      <c r="AU36" s="159">
        <v>61143</v>
      </c>
      <c r="AV36" s="157">
        <f t="shared" si="16"/>
        <v>8065373.1299999999</v>
      </c>
      <c r="AW36" s="216">
        <v>137.51</v>
      </c>
      <c r="AX36" s="159">
        <v>61143</v>
      </c>
      <c r="AY36" s="157">
        <f t="shared" si="17"/>
        <v>8407773.9299999997</v>
      </c>
      <c r="AZ36" s="216">
        <v>133.46</v>
      </c>
      <c r="BA36" s="159">
        <v>61143</v>
      </c>
      <c r="BB36" s="157">
        <f t="shared" si="18"/>
        <v>8160144.7800000003</v>
      </c>
      <c r="BC36" s="216">
        <v>131.52000000000001</v>
      </c>
      <c r="BD36" s="159">
        <v>61143</v>
      </c>
      <c r="BE36" s="230">
        <f t="shared" si="19"/>
        <v>8041527.3600000003</v>
      </c>
      <c r="BF36" s="216">
        <v>131.66999999999999</v>
      </c>
      <c r="BG36" s="159">
        <v>61143</v>
      </c>
      <c r="BH36" s="157">
        <f t="shared" si="20"/>
        <v>8050698.8099999996</v>
      </c>
      <c r="BI36" s="216">
        <v>132.19999999999999</v>
      </c>
      <c r="BJ36" s="159">
        <v>61143</v>
      </c>
      <c r="BK36" s="157">
        <f>BI36*BJ36</f>
        <v>8083104.5999999996</v>
      </c>
      <c r="BL36" s="216">
        <v>132.83000000000001</v>
      </c>
      <c r="BM36" s="159">
        <v>61143</v>
      </c>
      <c r="BN36" s="157">
        <f t="shared" ref="BN36:BN42" si="40">BL36*BM36</f>
        <v>8121624.6900000004</v>
      </c>
      <c r="BO36" s="216">
        <v>135.24</v>
      </c>
      <c r="BP36" s="159">
        <v>61143</v>
      </c>
      <c r="BQ36" s="157">
        <f t="shared" si="23"/>
        <v>8268979.3200000003</v>
      </c>
      <c r="BR36" s="216">
        <v>134.97</v>
      </c>
      <c r="BS36" s="159">
        <v>61143</v>
      </c>
      <c r="BT36" s="230">
        <f t="shared" si="24"/>
        <v>8252470.71</v>
      </c>
      <c r="BU36" s="216">
        <v>133.74</v>
      </c>
      <c r="BV36" s="159">
        <v>61143</v>
      </c>
      <c r="BW36" s="157">
        <f t="shared" si="25"/>
        <v>8177264.8200000003</v>
      </c>
      <c r="BX36" s="216">
        <v>134.82</v>
      </c>
      <c r="BY36" s="159">
        <v>61143</v>
      </c>
      <c r="BZ36" s="157">
        <f>BX36*BY36</f>
        <v>8243299.2599999998</v>
      </c>
      <c r="CA36" s="216">
        <v>130.37</v>
      </c>
      <c r="CB36" s="159">
        <v>61143</v>
      </c>
      <c r="CC36" s="157">
        <f t="shared" ref="CC36:CC42" si="41">CA36*CB36</f>
        <v>7971212.9100000001</v>
      </c>
      <c r="CD36" s="216">
        <v>130.35</v>
      </c>
      <c r="CE36" s="159">
        <v>61143</v>
      </c>
      <c r="CF36" s="157">
        <f t="shared" si="28"/>
        <v>7969990.0499999998</v>
      </c>
      <c r="CG36" s="216">
        <v>128.94999999999999</v>
      </c>
      <c r="CH36" s="159">
        <v>61143</v>
      </c>
      <c r="CI36" s="230">
        <f t="shared" si="29"/>
        <v>7884389.8499999996</v>
      </c>
      <c r="CJ36" s="216">
        <v>125.86</v>
      </c>
      <c r="CK36" s="159">
        <v>61143</v>
      </c>
      <c r="CL36" s="157">
        <f>CJ36*CK36</f>
        <v>7695457.9799999995</v>
      </c>
      <c r="CM36" s="216">
        <v>125.52</v>
      </c>
      <c r="CN36" s="159">
        <v>61143</v>
      </c>
      <c r="CO36" s="157">
        <f t="shared" ref="CO36:CO42" si="42">CM36*CN36</f>
        <v>7674669.3599999994</v>
      </c>
      <c r="CP36" s="216">
        <v>126.28</v>
      </c>
      <c r="CQ36" s="159">
        <v>61143</v>
      </c>
      <c r="CR36" s="157">
        <f t="shared" si="32"/>
        <v>7721138.04</v>
      </c>
      <c r="CS36" s="216">
        <v>126.64</v>
      </c>
      <c r="CT36" s="159">
        <v>61143</v>
      </c>
      <c r="CU36" s="230">
        <f t="shared" si="33"/>
        <v>7743149.5200000005</v>
      </c>
      <c r="CV36" s="216">
        <v>127.19</v>
      </c>
      <c r="CW36" s="159">
        <v>61143</v>
      </c>
      <c r="CX36" s="157">
        <f t="shared" si="34"/>
        <v>7776778.1699999999</v>
      </c>
      <c r="CY36" s="216">
        <v>126.46</v>
      </c>
      <c r="CZ36" s="159">
        <v>61143</v>
      </c>
      <c r="DA36" s="157">
        <f>CY36*CZ36</f>
        <v>7732143.7799999993</v>
      </c>
      <c r="DB36" s="216">
        <v>125.03</v>
      </c>
      <c r="DC36" s="159">
        <v>61143</v>
      </c>
      <c r="DD36" s="157">
        <f t="shared" ref="DD36:DD42" si="43">DB36*DC36</f>
        <v>7644709.29</v>
      </c>
      <c r="DE36" s="216">
        <v>121.15</v>
      </c>
      <c r="DF36" s="159">
        <v>61143</v>
      </c>
      <c r="DG36" s="157">
        <f t="shared" si="37"/>
        <v>7407474.4500000002</v>
      </c>
      <c r="DH36" s="216">
        <v>124.8</v>
      </c>
      <c r="DI36" s="159">
        <v>61143</v>
      </c>
      <c r="DJ36" s="230">
        <f t="shared" si="38"/>
        <v>7630646.3999999994</v>
      </c>
      <c r="DK36" s="216">
        <v>129.30000000000001</v>
      </c>
      <c r="DL36" s="159">
        <v>61143</v>
      </c>
      <c r="DM36" s="157">
        <f t="shared" si="39"/>
        <v>7905789.9000000004</v>
      </c>
    </row>
    <row r="37" spans="2:117" ht="15.5" x14ac:dyDescent="0.35">
      <c r="B37" s="154">
        <v>7</v>
      </c>
      <c r="C37" s="213" t="s">
        <v>13</v>
      </c>
      <c r="D37" s="216">
        <v>24.68</v>
      </c>
      <c r="E37" s="159">
        <v>275049</v>
      </c>
      <c r="F37" s="157">
        <f t="shared" si="3"/>
        <v>6788209.3200000003</v>
      </c>
      <c r="G37" s="216">
        <v>24.77</v>
      </c>
      <c r="H37" s="159">
        <v>275049</v>
      </c>
      <c r="I37" s="157">
        <f t="shared" si="4"/>
        <v>6812963.7299999995</v>
      </c>
      <c r="J37" s="216">
        <v>24.53</v>
      </c>
      <c r="K37" s="159">
        <v>275049</v>
      </c>
      <c r="L37" s="157">
        <f t="shared" si="5"/>
        <v>6746951.9700000007</v>
      </c>
      <c r="M37" s="216">
        <v>24.82</v>
      </c>
      <c r="N37" s="159">
        <v>275049</v>
      </c>
      <c r="O37" s="157">
        <f t="shared" si="2"/>
        <v>6826716.1799999997</v>
      </c>
      <c r="P37" s="216">
        <v>24.75</v>
      </c>
      <c r="Q37" s="159">
        <v>275049</v>
      </c>
      <c r="R37" s="157">
        <f t="shared" si="6"/>
        <v>6807462.75</v>
      </c>
      <c r="S37" s="216">
        <v>25.54</v>
      </c>
      <c r="T37" s="159">
        <v>275049</v>
      </c>
      <c r="U37" s="157">
        <f t="shared" si="7"/>
        <v>7024751.46</v>
      </c>
      <c r="V37" s="216">
        <v>25.43</v>
      </c>
      <c r="W37" s="159">
        <v>275049</v>
      </c>
      <c r="X37" s="157">
        <f t="shared" si="8"/>
        <v>6994496.0700000003</v>
      </c>
      <c r="Y37" s="216">
        <v>25.54</v>
      </c>
      <c r="Z37" s="159">
        <v>275049</v>
      </c>
      <c r="AA37" s="157">
        <f t="shared" si="9"/>
        <v>7024751.46</v>
      </c>
      <c r="AB37" s="216">
        <v>25.2</v>
      </c>
      <c r="AC37" s="159">
        <v>275049</v>
      </c>
      <c r="AD37" s="157">
        <f t="shared" si="10"/>
        <v>6931234.7999999998</v>
      </c>
      <c r="AE37" s="216">
        <v>24.89</v>
      </c>
      <c r="AF37" s="159">
        <v>275049</v>
      </c>
      <c r="AG37" s="157">
        <f t="shared" si="11"/>
        <v>6845969.6100000003</v>
      </c>
      <c r="AH37" s="216">
        <v>25.83</v>
      </c>
      <c r="AI37" s="159">
        <v>275049</v>
      </c>
      <c r="AJ37" s="157">
        <f t="shared" si="12"/>
        <v>7104515.6699999999</v>
      </c>
      <c r="AK37" s="216">
        <v>25.1</v>
      </c>
      <c r="AL37" s="159">
        <v>275049</v>
      </c>
      <c r="AM37" s="157">
        <f t="shared" si="13"/>
        <v>6903729.9000000004</v>
      </c>
      <c r="AN37" s="216">
        <v>25.07</v>
      </c>
      <c r="AO37" s="159">
        <v>275049</v>
      </c>
      <c r="AP37" s="230">
        <f t="shared" si="14"/>
        <v>6895478.4299999997</v>
      </c>
      <c r="AQ37" s="216">
        <v>25.26</v>
      </c>
      <c r="AR37" s="159">
        <v>275049</v>
      </c>
      <c r="AS37" s="157">
        <f t="shared" si="15"/>
        <v>6947737.7400000002</v>
      </c>
      <c r="AT37" s="216">
        <v>25.03</v>
      </c>
      <c r="AU37" s="159">
        <v>275049</v>
      </c>
      <c r="AV37" s="157">
        <f t="shared" si="16"/>
        <v>6884476.4700000007</v>
      </c>
      <c r="AW37" s="216">
        <v>26.04</v>
      </c>
      <c r="AX37" s="159">
        <v>275049</v>
      </c>
      <c r="AY37" s="157">
        <f t="shared" si="17"/>
        <v>7162275.96</v>
      </c>
      <c r="AZ37" s="216">
        <v>25.75</v>
      </c>
      <c r="BA37" s="159">
        <v>275049</v>
      </c>
      <c r="BB37" s="157">
        <f t="shared" si="18"/>
        <v>7082511.75</v>
      </c>
      <c r="BC37" s="216">
        <v>25.12</v>
      </c>
      <c r="BD37" s="159">
        <v>275049</v>
      </c>
      <c r="BE37" s="230">
        <f t="shared" si="19"/>
        <v>6909230.8799999999</v>
      </c>
      <c r="BF37" s="216">
        <v>25.99</v>
      </c>
      <c r="BG37" s="159">
        <v>275049</v>
      </c>
      <c r="BH37" s="157">
        <f t="shared" si="20"/>
        <v>7148523.5099999998</v>
      </c>
      <c r="BI37" s="216">
        <v>26.18</v>
      </c>
      <c r="BJ37" s="159">
        <v>275049</v>
      </c>
      <c r="BK37" s="157">
        <f t="shared" si="21"/>
        <v>7200782.8200000003</v>
      </c>
      <c r="BL37" s="216">
        <v>26.33</v>
      </c>
      <c r="BM37" s="159">
        <v>275049</v>
      </c>
      <c r="BN37" s="157">
        <f t="shared" si="40"/>
        <v>7242040.1699999999</v>
      </c>
      <c r="BO37" s="216">
        <v>28.2</v>
      </c>
      <c r="BP37" s="159">
        <v>275049</v>
      </c>
      <c r="BQ37" s="157">
        <f t="shared" si="23"/>
        <v>7756381.7999999998</v>
      </c>
      <c r="BR37" s="216">
        <v>27.99</v>
      </c>
      <c r="BS37" s="159">
        <v>275049</v>
      </c>
      <c r="BT37" s="230">
        <f t="shared" si="24"/>
        <v>7698621.5099999998</v>
      </c>
      <c r="BU37" s="216">
        <v>27.58</v>
      </c>
      <c r="BV37" s="159">
        <v>275049</v>
      </c>
      <c r="BW37" s="157">
        <f t="shared" si="25"/>
        <v>7585851.4199999999</v>
      </c>
      <c r="BX37" s="216">
        <v>27.57</v>
      </c>
      <c r="BY37" s="159">
        <v>275049</v>
      </c>
      <c r="BZ37" s="157">
        <f t="shared" ref="BZ37:BZ39" si="44">BX37*BY37</f>
        <v>7583100.9299999997</v>
      </c>
      <c r="CA37" s="216">
        <v>26.85</v>
      </c>
      <c r="CB37" s="159">
        <v>275049</v>
      </c>
      <c r="CC37" s="157">
        <f t="shared" si="41"/>
        <v>7385065.6500000004</v>
      </c>
      <c r="CD37" s="216">
        <v>27.11</v>
      </c>
      <c r="CE37" s="159">
        <v>275049</v>
      </c>
      <c r="CF37" s="157">
        <f t="shared" si="28"/>
        <v>7456578.3899999997</v>
      </c>
      <c r="CG37" s="216">
        <v>27.16</v>
      </c>
      <c r="CH37" s="159">
        <v>275049</v>
      </c>
      <c r="CI37" s="230">
        <f t="shared" si="29"/>
        <v>7470330.8399999999</v>
      </c>
      <c r="CJ37" s="216">
        <v>26.79</v>
      </c>
      <c r="CK37" s="159">
        <v>275049</v>
      </c>
      <c r="CL37" s="157">
        <f t="shared" ref="CL37:CL39" si="45">CJ37*CK37</f>
        <v>7368562.71</v>
      </c>
      <c r="CM37" s="216">
        <v>26.98</v>
      </c>
      <c r="CN37" s="159">
        <v>275049</v>
      </c>
      <c r="CO37" s="157">
        <f t="shared" si="42"/>
        <v>7420822.0200000005</v>
      </c>
      <c r="CP37" s="216">
        <v>26.87</v>
      </c>
      <c r="CQ37" s="159">
        <v>275049</v>
      </c>
      <c r="CR37" s="157">
        <f t="shared" si="32"/>
        <v>7390566.6299999999</v>
      </c>
      <c r="CS37" s="216">
        <v>27.14</v>
      </c>
      <c r="CT37" s="159">
        <v>275049</v>
      </c>
      <c r="CU37" s="230">
        <f t="shared" si="33"/>
        <v>7464829.8600000003</v>
      </c>
      <c r="CV37" s="216">
        <v>26.95</v>
      </c>
      <c r="CW37" s="159">
        <v>275049</v>
      </c>
      <c r="CX37" s="157">
        <f t="shared" si="34"/>
        <v>7412570.5499999998</v>
      </c>
      <c r="CY37" s="216">
        <v>26.56</v>
      </c>
      <c r="CZ37" s="159">
        <v>275049</v>
      </c>
      <c r="DA37" s="157">
        <f t="shared" ref="DA37:DA39" si="46">CY37*CZ37</f>
        <v>7305301.4399999995</v>
      </c>
      <c r="DB37" s="216">
        <v>26.39</v>
      </c>
      <c r="DC37" s="159">
        <v>275049</v>
      </c>
      <c r="DD37" s="157">
        <f t="shared" si="43"/>
        <v>7258543.1100000003</v>
      </c>
      <c r="DE37" s="216">
        <v>26.11</v>
      </c>
      <c r="DF37" s="159">
        <v>275049</v>
      </c>
      <c r="DG37" s="157">
        <f t="shared" si="37"/>
        <v>7181529.3899999997</v>
      </c>
      <c r="DH37" s="216">
        <v>26.04</v>
      </c>
      <c r="DI37" s="159">
        <v>275049</v>
      </c>
      <c r="DJ37" s="230">
        <f t="shared" si="38"/>
        <v>7162275.96</v>
      </c>
      <c r="DK37" s="216">
        <v>26.7</v>
      </c>
      <c r="DL37" s="159">
        <v>275049</v>
      </c>
      <c r="DM37" s="157">
        <f t="shared" si="39"/>
        <v>7343808.2999999998</v>
      </c>
    </row>
    <row r="38" spans="2:117" ht="15.5" x14ac:dyDescent="0.35">
      <c r="B38" s="154">
        <v>8</v>
      </c>
      <c r="C38" s="213" t="s">
        <v>9</v>
      </c>
      <c r="D38" s="216">
        <v>138.22</v>
      </c>
      <c r="E38" s="159">
        <v>48628</v>
      </c>
      <c r="F38" s="157">
        <f t="shared" si="3"/>
        <v>6721362.1600000001</v>
      </c>
      <c r="G38" s="216">
        <v>138.63999999999999</v>
      </c>
      <c r="H38" s="159">
        <v>48628</v>
      </c>
      <c r="I38" s="157">
        <f t="shared" si="4"/>
        <v>6741785.919999999</v>
      </c>
      <c r="J38" s="216">
        <v>139.16999999999999</v>
      </c>
      <c r="K38" s="159">
        <v>48628</v>
      </c>
      <c r="L38" s="157">
        <f t="shared" si="5"/>
        <v>6767558.7599999998</v>
      </c>
      <c r="M38" s="216">
        <v>139.22999999999999</v>
      </c>
      <c r="N38" s="159">
        <v>48628</v>
      </c>
      <c r="O38" s="157">
        <f t="shared" si="2"/>
        <v>6770476.4399999995</v>
      </c>
      <c r="P38" s="216">
        <v>139.91999999999999</v>
      </c>
      <c r="Q38" s="159">
        <v>48628</v>
      </c>
      <c r="R38" s="157">
        <f t="shared" si="6"/>
        <v>6804029.7599999998</v>
      </c>
      <c r="S38" s="216">
        <v>146.01</v>
      </c>
      <c r="T38" s="159">
        <v>48628</v>
      </c>
      <c r="U38" s="157">
        <f t="shared" si="7"/>
        <v>7100174.2799999993</v>
      </c>
      <c r="V38" s="220">
        <v>145.05000000000001</v>
      </c>
      <c r="W38" s="159">
        <v>48628</v>
      </c>
      <c r="X38" s="157">
        <f t="shared" si="8"/>
        <v>7053491.4000000004</v>
      </c>
      <c r="Y38" s="216">
        <v>147</v>
      </c>
      <c r="Z38" s="159">
        <v>48628</v>
      </c>
      <c r="AA38" s="157">
        <f>Y38*Z38</f>
        <v>7148316</v>
      </c>
      <c r="AB38" s="220">
        <v>139.91</v>
      </c>
      <c r="AC38" s="159">
        <v>48628</v>
      </c>
      <c r="AD38" s="157">
        <f t="shared" si="10"/>
        <v>6803543.4799999995</v>
      </c>
      <c r="AE38" s="216">
        <v>136.74</v>
      </c>
      <c r="AF38" s="159">
        <v>48628</v>
      </c>
      <c r="AG38" s="157">
        <f t="shared" si="11"/>
        <v>6649392.7200000007</v>
      </c>
      <c r="AH38" s="216">
        <v>137.29</v>
      </c>
      <c r="AI38" s="159">
        <v>48628</v>
      </c>
      <c r="AJ38" s="157">
        <f t="shared" si="12"/>
        <v>6676138.1199999992</v>
      </c>
      <c r="AK38" s="216">
        <v>139.69</v>
      </c>
      <c r="AL38" s="159">
        <v>48628</v>
      </c>
      <c r="AM38" s="157">
        <f t="shared" si="13"/>
        <v>6792845.3200000003</v>
      </c>
      <c r="AN38" s="216">
        <v>141.46</v>
      </c>
      <c r="AO38" s="159">
        <v>48628</v>
      </c>
      <c r="AP38" s="230">
        <f t="shared" si="14"/>
        <v>6878916.8800000008</v>
      </c>
      <c r="AQ38" s="216">
        <v>141.46</v>
      </c>
      <c r="AR38" s="159">
        <v>48628</v>
      </c>
      <c r="AS38" s="157">
        <f t="shared" si="15"/>
        <v>6878916.8800000008</v>
      </c>
      <c r="AT38" s="216">
        <v>140.08000000000001</v>
      </c>
      <c r="AU38" s="159">
        <v>48628</v>
      </c>
      <c r="AV38" s="157">
        <f t="shared" si="16"/>
        <v>6811810.2400000002</v>
      </c>
      <c r="AW38" s="216">
        <v>147.72</v>
      </c>
      <c r="AX38" s="159">
        <v>48628</v>
      </c>
      <c r="AY38" s="157">
        <f t="shared" si="17"/>
        <v>7183328.1600000001</v>
      </c>
      <c r="AZ38" s="216">
        <v>144.86000000000001</v>
      </c>
      <c r="BA38" s="159">
        <v>48628</v>
      </c>
      <c r="BB38" s="157">
        <f t="shared" si="18"/>
        <v>7044252.080000001</v>
      </c>
      <c r="BC38" s="216">
        <v>141.72999999999999</v>
      </c>
      <c r="BD38" s="159">
        <v>48628</v>
      </c>
      <c r="BE38" s="230">
        <f t="shared" si="19"/>
        <v>6892046.4399999995</v>
      </c>
      <c r="BF38" s="216">
        <v>145.68</v>
      </c>
      <c r="BG38" s="159">
        <v>48628</v>
      </c>
      <c r="BH38" s="157">
        <f t="shared" si="20"/>
        <v>7084127.04</v>
      </c>
      <c r="BI38" s="216">
        <v>146.22999999999999</v>
      </c>
      <c r="BJ38" s="159">
        <v>48628</v>
      </c>
      <c r="BK38" s="157">
        <f t="shared" si="21"/>
        <v>7110872.4399999995</v>
      </c>
      <c r="BL38" s="216">
        <v>145.66999999999999</v>
      </c>
      <c r="BM38" s="159">
        <v>48628</v>
      </c>
      <c r="BN38" s="157">
        <f t="shared" si="40"/>
        <v>7083640.7599999998</v>
      </c>
      <c r="BO38" s="216">
        <v>147.13999999999999</v>
      </c>
      <c r="BP38" s="159">
        <v>48628</v>
      </c>
      <c r="BQ38" s="157">
        <f t="shared" si="23"/>
        <v>7155123.919999999</v>
      </c>
      <c r="BR38" s="216">
        <v>147.66999999999999</v>
      </c>
      <c r="BS38" s="159">
        <v>48628</v>
      </c>
      <c r="BT38" s="230">
        <f t="shared" si="24"/>
        <v>7180896.7599999998</v>
      </c>
      <c r="BU38" s="216">
        <v>146.57</v>
      </c>
      <c r="BV38" s="159">
        <v>48628</v>
      </c>
      <c r="BW38" s="157">
        <f t="shared" si="25"/>
        <v>7127405.96</v>
      </c>
      <c r="BX38" s="216">
        <v>146.09</v>
      </c>
      <c r="BY38" s="159">
        <v>48628</v>
      </c>
      <c r="BZ38" s="157">
        <f t="shared" si="44"/>
        <v>7104064.5200000005</v>
      </c>
      <c r="CA38" s="216">
        <v>144.51</v>
      </c>
      <c r="CB38" s="159">
        <v>48628</v>
      </c>
      <c r="CC38" s="157">
        <f t="shared" si="41"/>
        <v>7027232.2799999993</v>
      </c>
      <c r="CD38" s="216">
        <v>144.15</v>
      </c>
      <c r="CE38" s="159">
        <v>48628</v>
      </c>
      <c r="CF38" s="157">
        <f t="shared" si="28"/>
        <v>7009726.2000000002</v>
      </c>
      <c r="CG38" s="216">
        <v>144.72</v>
      </c>
      <c r="CH38" s="159">
        <v>48628</v>
      </c>
      <c r="CI38" s="230">
        <f t="shared" si="29"/>
        <v>7037444.1600000001</v>
      </c>
      <c r="CJ38" s="216">
        <v>142.55000000000001</v>
      </c>
      <c r="CK38" s="159">
        <v>48628</v>
      </c>
      <c r="CL38" s="157">
        <f t="shared" si="45"/>
        <v>6931921.4000000004</v>
      </c>
      <c r="CM38" s="216">
        <v>140.38999999999999</v>
      </c>
      <c r="CN38" s="159">
        <v>48628</v>
      </c>
      <c r="CO38" s="157">
        <f t="shared" si="42"/>
        <v>6826884.919999999</v>
      </c>
      <c r="CP38" s="216">
        <v>141.63</v>
      </c>
      <c r="CQ38" s="159">
        <v>48628</v>
      </c>
      <c r="CR38" s="157">
        <f t="shared" si="32"/>
        <v>6887183.6399999997</v>
      </c>
      <c r="CS38" s="216">
        <v>144.96</v>
      </c>
      <c r="CT38" s="159">
        <v>48628</v>
      </c>
      <c r="CU38" s="230">
        <f t="shared" si="33"/>
        <v>7049114.8800000008</v>
      </c>
      <c r="CV38" s="216">
        <v>144.05000000000001</v>
      </c>
      <c r="CW38" s="159">
        <v>48628</v>
      </c>
      <c r="CX38" s="157">
        <f t="shared" si="34"/>
        <v>7004863.4000000004</v>
      </c>
      <c r="CY38" s="216">
        <v>139.80000000000001</v>
      </c>
      <c r="CZ38" s="159">
        <v>48628</v>
      </c>
      <c r="DA38" s="157">
        <f t="shared" si="46"/>
        <v>6798194.4000000004</v>
      </c>
      <c r="DB38" s="216">
        <v>142.41</v>
      </c>
      <c r="DC38" s="159">
        <v>48628</v>
      </c>
      <c r="DD38" s="157">
        <f t="shared" si="43"/>
        <v>6925113.4799999995</v>
      </c>
      <c r="DE38" s="216">
        <v>135.12</v>
      </c>
      <c r="DF38" s="159">
        <v>48628</v>
      </c>
      <c r="DG38" s="157">
        <f t="shared" si="37"/>
        <v>6570615.3600000003</v>
      </c>
      <c r="DH38" s="216">
        <v>138.53</v>
      </c>
      <c r="DI38" s="159">
        <v>48628</v>
      </c>
      <c r="DJ38" s="230">
        <f t="shared" si="38"/>
        <v>6736436.8399999999</v>
      </c>
      <c r="DK38" s="216">
        <v>144.9</v>
      </c>
      <c r="DL38" s="159">
        <v>48628</v>
      </c>
      <c r="DM38" s="157">
        <f t="shared" si="39"/>
        <v>7046197.2000000002</v>
      </c>
    </row>
    <row r="39" spans="2:117" ht="15.5" x14ac:dyDescent="0.35">
      <c r="B39" s="154">
        <v>9</v>
      </c>
      <c r="C39" s="213" t="s">
        <v>14</v>
      </c>
      <c r="D39" s="216">
        <v>23.41</v>
      </c>
      <c r="E39" s="159">
        <v>249169</v>
      </c>
      <c r="F39" s="157">
        <f t="shared" si="3"/>
        <v>5833046.29</v>
      </c>
      <c r="G39" s="216">
        <v>23.51</v>
      </c>
      <c r="H39" s="159">
        <v>249169</v>
      </c>
      <c r="I39" s="157">
        <f t="shared" si="4"/>
        <v>5857963.1900000004</v>
      </c>
      <c r="J39" s="216">
        <v>23.54</v>
      </c>
      <c r="K39" s="159">
        <v>249169</v>
      </c>
      <c r="L39" s="157">
        <f t="shared" si="5"/>
        <v>5865438.2599999998</v>
      </c>
      <c r="M39" s="216">
        <v>23.69</v>
      </c>
      <c r="N39" s="159">
        <v>249169</v>
      </c>
      <c r="O39" s="157">
        <f t="shared" si="2"/>
        <v>5902813.6100000003</v>
      </c>
      <c r="P39" s="216">
        <v>23.64</v>
      </c>
      <c r="Q39" s="159">
        <v>249169</v>
      </c>
      <c r="R39" s="157">
        <f t="shared" si="6"/>
        <v>5890355.1600000001</v>
      </c>
      <c r="S39" s="216">
        <v>24.05</v>
      </c>
      <c r="T39" s="159">
        <v>249169</v>
      </c>
      <c r="U39" s="157">
        <f t="shared" si="7"/>
        <v>5992514.4500000002</v>
      </c>
      <c r="V39" s="216">
        <v>24.15</v>
      </c>
      <c r="W39" s="159">
        <v>249169</v>
      </c>
      <c r="X39" s="157">
        <f t="shared" si="8"/>
        <v>6017431.3499999996</v>
      </c>
      <c r="Y39" s="216">
        <v>24.28</v>
      </c>
      <c r="Z39" s="159">
        <v>249169</v>
      </c>
      <c r="AA39" s="157">
        <f>Y39*Z39</f>
        <v>6049823.3200000003</v>
      </c>
      <c r="AB39" s="216">
        <v>23.98</v>
      </c>
      <c r="AC39" s="159">
        <v>249169</v>
      </c>
      <c r="AD39" s="157">
        <f t="shared" si="10"/>
        <v>5975072.6200000001</v>
      </c>
      <c r="AE39" s="216">
        <v>23.72</v>
      </c>
      <c r="AF39" s="159">
        <v>249169</v>
      </c>
      <c r="AG39" s="157">
        <f t="shared" si="11"/>
        <v>5910288.6799999997</v>
      </c>
      <c r="AH39" s="216">
        <v>23.41</v>
      </c>
      <c r="AI39" s="159">
        <v>249169</v>
      </c>
      <c r="AJ39" s="157">
        <f t="shared" si="12"/>
        <v>5833046.29</v>
      </c>
      <c r="AK39" s="216">
        <v>23.41</v>
      </c>
      <c r="AL39" s="159">
        <v>249169</v>
      </c>
      <c r="AM39" s="157">
        <f t="shared" si="13"/>
        <v>5833046.29</v>
      </c>
      <c r="AN39" s="216">
        <v>23.29</v>
      </c>
      <c r="AO39" s="159">
        <v>249169</v>
      </c>
      <c r="AP39" s="230">
        <f t="shared" si="14"/>
        <v>5803146.0099999998</v>
      </c>
      <c r="AQ39" s="216">
        <v>23.68</v>
      </c>
      <c r="AR39" s="159">
        <v>249169</v>
      </c>
      <c r="AS39" s="157">
        <f t="shared" si="15"/>
        <v>5900321.9199999999</v>
      </c>
      <c r="AT39" s="216">
        <v>23.19</v>
      </c>
      <c r="AU39" s="159">
        <v>249169</v>
      </c>
      <c r="AV39" s="157">
        <f t="shared" si="16"/>
        <v>5778229.1100000003</v>
      </c>
      <c r="AW39" s="216">
        <v>24.21</v>
      </c>
      <c r="AX39" s="159">
        <v>249169</v>
      </c>
      <c r="AY39" s="157">
        <f t="shared" si="17"/>
        <v>6032381.4900000002</v>
      </c>
      <c r="AZ39" s="216">
        <v>23.82</v>
      </c>
      <c r="BA39" s="159">
        <v>249169</v>
      </c>
      <c r="BB39" s="157">
        <f t="shared" si="18"/>
        <v>5935205.5800000001</v>
      </c>
      <c r="BC39" s="216">
        <v>23.38</v>
      </c>
      <c r="BD39" s="159">
        <v>249169</v>
      </c>
      <c r="BE39" s="230">
        <f t="shared" si="19"/>
        <v>5825571.2199999997</v>
      </c>
      <c r="BF39" s="216">
        <v>24.02</v>
      </c>
      <c r="BG39" s="159">
        <v>249169</v>
      </c>
      <c r="BH39" s="157">
        <f t="shared" si="20"/>
        <v>5985039.3799999999</v>
      </c>
      <c r="BI39" s="216">
        <v>24.01</v>
      </c>
      <c r="BJ39" s="159">
        <v>249169</v>
      </c>
      <c r="BK39" s="157">
        <f t="shared" si="21"/>
        <v>5982547.6900000004</v>
      </c>
      <c r="BL39" s="216">
        <v>24</v>
      </c>
      <c r="BM39" s="159">
        <v>249169</v>
      </c>
      <c r="BN39" s="157">
        <f t="shared" si="40"/>
        <v>5980056</v>
      </c>
      <c r="BO39" s="216">
        <v>25.48</v>
      </c>
      <c r="BP39" s="159">
        <v>249169</v>
      </c>
      <c r="BQ39" s="157">
        <f t="shared" si="23"/>
        <v>6348826.1200000001</v>
      </c>
      <c r="BR39" s="216">
        <v>25.15</v>
      </c>
      <c r="BS39" s="159">
        <v>249169</v>
      </c>
      <c r="BT39" s="230">
        <f t="shared" si="24"/>
        <v>6266600.3499999996</v>
      </c>
      <c r="BU39" s="216">
        <v>25.09</v>
      </c>
      <c r="BV39" s="159">
        <v>249169</v>
      </c>
      <c r="BW39" s="157">
        <f t="shared" si="25"/>
        <v>6251650.21</v>
      </c>
      <c r="BX39" s="216">
        <v>25.07</v>
      </c>
      <c r="BY39" s="159">
        <v>249169</v>
      </c>
      <c r="BZ39" s="157">
        <f t="shared" si="44"/>
        <v>6246666.8300000001</v>
      </c>
      <c r="CA39" s="216">
        <v>24.84</v>
      </c>
      <c r="CB39" s="159">
        <v>249169</v>
      </c>
      <c r="CC39" s="157">
        <f t="shared" si="41"/>
        <v>6189357.96</v>
      </c>
      <c r="CD39" s="216">
        <v>25.01</v>
      </c>
      <c r="CE39" s="159">
        <v>249169</v>
      </c>
      <c r="CF39" s="157">
        <f t="shared" si="28"/>
        <v>6231716.6900000004</v>
      </c>
      <c r="CG39" s="216">
        <v>24.63</v>
      </c>
      <c r="CH39" s="159">
        <v>249169</v>
      </c>
      <c r="CI39" s="230">
        <f t="shared" si="29"/>
        <v>6137032.4699999997</v>
      </c>
      <c r="CJ39" s="216">
        <v>24.35</v>
      </c>
      <c r="CK39" s="159">
        <v>249169</v>
      </c>
      <c r="CL39" s="157">
        <f t="shared" si="45"/>
        <v>6067265.1500000004</v>
      </c>
      <c r="CM39" s="216">
        <v>24.24</v>
      </c>
      <c r="CN39" s="159">
        <v>249169</v>
      </c>
      <c r="CO39" s="157">
        <f t="shared" si="42"/>
        <v>6039856.5599999996</v>
      </c>
      <c r="CP39" s="216">
        <v>24.58</v>
      </c>
      <c r="CQ39" s="159">
        <v>249169</v>
      </c>
      <c r="CR39" s="157">
        <f t="shared" si="32"/>
        <v>6124574.0199999996</v>
      </c>
      <c r="CS39" s="216">
        <v>24.91</v>
      </c>
      <c r="CT39" s="159">
        <v>249169</v>
      </c>
      <c r="CU39" s="230">
        <f t="shared" si="33"/>
        <v>6206799.79</v>
      </c>
      <c r="CV39" s="216">
        <v>24.75</v>
      </c>
      <c r="CW39" s="159">
        <v>249169</v>
      </c>
      <c r="CX39" s="157">
        <f t="shared" si="34"/>
        <v>6166932.75</v>
      </c>
      <c r="CY39" s="216">
        <v>24.81</v>
      </c>
      <c r="CZ39" s="159">
        <v>249169</v>
      </c>
      <c r="DA39" s="157">
        <f t="shared" si="46"/>
        <v>6181882.8899999997</v>
      </c>
      <c r="DB39" s="216">
        <v>24.77</v>
      </c>
      <c r="DC39" s="159">
        <v>249169</v>
      </c>
      <c r="DD39" s="157">
        <f t="shared" si="43"/>
        <v>6171916.1299999999</v>
      </c>
      <c r="DE39" s="216">
        <v>24.1</v>
      </c>
      <c r="DF39" s="159">
        <v>249169</v>
      </c>
      <c r="DG39" s="157">
        <f t="shared" si="37"/>
        <v>6004972.9000000004</v>
      </c>
      <c r="DH39" s="216">
        <v>24.46</v>
      </c>
      <c r="DI39" s="159">
        <v>249169</v>
      </c>
      <c r="DJ39" s="230">
        <f t="shared" si="38"/>
        <v>6094673.7400000002</v>
      </c>
      <c r="DK39" s="216">
        <v>24.99</v>
      </c>
      <c r="DL39" s="159">
        <v>249169</v>
      </c>
      <c r="DM39" s="157">
        <f t="shared" si="39"/>
        <v>6226733.3099999996</v>
      </c>
    </row>
    <row r="40" spans="2:117" ht="15.5" x14ac:dyDescent="0.35">
      <c r="B40" s="154">
        <v>10</v>
      </c>
      <c r="C40" s="213" t="s">
        <v>12</v>
      </c>
      <c r="D40" s="217">
        <v>33.770000000000003</v>
      </c>
      <c r="E40" s="159">
        <v>153327</v>
      </c>
      <c r="F40" s="157">
        <f t="shared" si="3"/>
        <v>5177852.79</v>
      </c>
      <c r="G40" s="217">
        <v>34.04</v>
      </c>
      <c r="H40" s="159">
        <v>153327</v>
      </c>
      <c r="I40" s="157">
        <f t="shared" si="4"/>
        <v>5219251.08</v>
      </c>
      <c r="J40" s="217">
        <v>33.85</v>
      </c>
      <c r="K40" s="159">
        <v>153327</v>
      </c>
      <c r="L40" s="157">
        <f t="shared" si="5"/>
        <v>5190118.95</v>
      </c>
      <c r="M40" s="217">
        <v>33.92</v>
      </c>
      <c r="N40" s="159">
        <v>153327</v>
      </c>
      <c r="O40" s="157">
        <f t="shared" si="2"/>
        <v>5200851.84</v>
      </c>
      <c r="P40" s="217">
        <v>31.27</v>
      </c>
      <c r="Q40" s="159">
        <v>153327</v>
      </c>
      <c r="R40" s="157">
        <f t="shared" si="6"/>
        <v>4794535.29</v>
      </c>
      <c r="S40" s="217">
        <v>31.27</v>
      </c>
      <c r="T40" s="159">
        <v>153327</v>
      </c>
      <c r="U40" s="157">
        <f t="shared" si="7"/>
        <v>4794535.29</v>
      </c>
      <c r="V40" s="217">
        <v>31.04</v>
      </c>
      <c r="W40" s="159">
        <v>153327</v>
      </c>
      <c r="X40" s="157">
        <f t="shared" si="8"/>
        <v>4759270.08</v>
      </c>
      <c r="Y40" s="217">
        <v>30.84</v>
      </c>
      <c r="Z40" s="159">
        <v>153327</v>
      </c>
      <c r="AA40" s="157">
        <f t="shared" si="9"/>
        <v>4728604.68</v>
      </c>
      <c r="AB40" s="217">
        <v>30.77</v>
      </c>
      <c r="AC40" s="159">
        <v>153327</v>
      </c>
      <c r="AD40" s="157">
        <f t="shared" si="10"/>
        <v>4717871.79</v>
      </c>
      <c r="AE40" s="217">
        <v>30.31</v>
      </c>
      <c r="AF40" s="159">
        <v>153327</v>
      </c>
      <c r="AG40" s="157">
        <f t="shared" si="11"/>
        <v>4647341.37</v>
      </c>
      <c r="AH40" s="217">
        <v>37</v>
      </c>
      <c r="AI40" s="159">
        <v>153327</v>
      </c>
      <c r="AJ40" s="157">
        <f t="shared" si="12"/>
        <v>5673099</v>
      </c>
      <c r="AK40" s="217">
        <v>30.29</v>
      </c>
      <c r="AL40" s="159">
        <v>153327</v>
      </c>
      <c r="AM40" s="157">
        <f t="shared" si="13"/>
        <v>4644274.83</v>
      </c>
      <c r="AN40" s="217">
        <v>30.4</v>
      </c>
      <c r="AO40" s="159">
        <v>153327</v>
      </c>
      <c r="AP40" s="230">
        <f t="shared" si="14"/>
        <v>4661140.8</v>
      </c>
      <c r="AQ40" s="216">
        <v>30.39</v>
      </c>
      <c r="AR40" s="159">
        <v>153327</v>
      </c>
      <c r="AS40" s="157">
        <f t="shared" si="15"/>
        <v>4659607.53</v>
      </c>
      <c r="AT40" s="217">
        <v>30.43</v>
      </c>
      <c r="AU40" s="159">
        <v>153327</v>
      </c>
      <c r="AV40" s="157">
        <f t="shared" si="16"/>
        <v>4665740.6100000003</v>
      </c>
      <c r="AW40" s="217">
        <v>31.08</v>
      </c>
      <c r="AX40" s="159">
        <v>153327</v>
      </c>
      <c r="AY40" s="157">
        <f t="shared" si="17"/>
        <v>4765403.16</v>
      </c>
      <c r="AZ40" s="217">
        <v>30.76</v>
      </c>
      <c r="BA40" s="159">
        <v>153327</v>
      </c>
      <c r="BB40" s="157">
        <f t="shared" si="18"/>
        <v>4716338.5200000005</v>
      </c>
      <c r="BC40" s="217">
        <v>30.17</v>
      </c>
      <c r="BD40" s="159">
        <v>153327</v>
      </c>
      <c r="BE40" s="230">
        <f t="shared" si="19"/>
        <v>4625875.59</v>
      </c>
      <c r="BF40" s="216">
        <v>31.04</v>
      </c>
      <c r="BG40" s="159">
        <v>153327</v>
      </c>
      <c r="BH40" s="157">
        <f t="shared" si="20"/>
        <v>4759270.08</v>
      </c>
      <c r="BI40" s="217">
        <v>31.87</v>
      </c>
      <c r="BJ40" s="159">
        <v>153327</v>
      </c>
      <c r="BK40" s="157">
        <f>BI40*BJ40</f>
        <v>4886531.49</v>
      </c>
      <c r="BL40" s="217">
        <v>32</v>
      </c>
      <c r="BM40" s="159">
        <v>153327</v>
      </c>
      <c r="BN40" s="157">
        <f t="shared" si="40"/>
        <v>4906464</v>
      </c>
      <c r="BO40" s="217">
        <v>33.869999999999997</v>
      </c>
      <c r="BP40" s="159">
        <v>153327</v>
      </c>
      <c r="BQ40" s="157">
        <f t="shared" si="23"/>
        <v>5193185.4899999993</v>
      </c>
      <c r="BR40" s="217">
        <v>33.1</v>
      </c>
      <c r="BS40" s="159">
        <v>153327</v>
      </c>
      <c r="BT40" s="230">
        <f t="shared" si="24"/>
        <v>5075123.7</v>
      </c>
      <c r="BU40" s="216">
        <v>32.840000000000003</v>
      </c>
      <c r="BV40" s="159">
        <v>153327</v>
      </c>
      <c r="BW40" s="157">
        <f t="shared" si="25"/>
        <v>5035258.6800000006</v>
      </c>
      <c r="BX40" s="217">
        <v>33.03</v>
      </c>
      <c r="BY40" s="159">
        <v>153327</v>
      </c>
      <c r="BZ40" s="157">
        <f>BX40*BY40</f>
        <v>5064390.8100000005</v>
      </c>
      <c r="CA40" s="217">
        <v>32.5</v>
      </c>
      <c r="CB40" s="159">
        <v>153327</v>
      </c>
      <c r="CC40" s="157">
        <f t="shared" si="41"/>
        <v>4983127.5</v>
      </c>
      <c r="CD40" s="217">
        <v>32.51</v>
      </c>
      <c r="CE40" s="159">
        <v>153327</v>
      </c>
      <c r="CF40" s="157">
        <f t="shared" si="28"/>
        <v>4984660.7699999996</v>
      </c>
      <c r="CG40" s="217">
        <v>32.200000000000003</v>
      </c>
      <c r="CH40" s="159">
        <v>153327</v>
      </c>
      <c r="CI40" s="230">
        <f t="shared" si="29"/>
        <v>4937129.4000000004</v>
      </c>
      <c r="CJ40" s="217">
        <v>33.619999999999997</v>
      </c>
      <c r="CK40" s="159">
        <v>153327</v>
      </c>
      <c r="CL40" s="157">
        <f>CJ40*CK40</f>
        <v>5154853.7399999993</v>
      </c>
      <c r="CM40" s="217">
        <v>32.53</v>
      </c>
      <c r="CN40" s="159">
        <v>153327</v>
      </c>
      <c r="CO40" s="157">
        <f t="shared" si="42"/>
        <v>4987727.3100000005</v>
      </c>
      <c r="CP40" s="217">
        <v>32.68</v>
      </c>
      <c r="CQ40" s="159">
        <v>153327</v>
      </c>
      <c r="CR40" s="157">
        <f t="shared" si="32"/>
        <v>5010726.3600000003</v>
      </c>
      <c r="CS40" s="217">
        <v>32.549999999999997</v>
      </c>
      <c r="CT40" s="159">
        <v>153327</v>
      </c>
      <c r="CU40" s="230">
        <f t="shared" si="33"/>
        <v>4990793.8499999996</v>
      </c>
      <c r="CV40" s="216">
        <v>32.799999999999997</v>
      </c>
      <c r="CW40" s="159">
        <v>153327</v>
      </c>
      <c r="CX40" s="157">
        <f t="shared" si="34"/>
        <v>5029125.5999999996</v>
      </c>
      <c r="CY40" s="217">
        <v>32.61</v>
      </c>
      <c r="CZ40" s="159">
        <v>153327</v>
      </c>
      <c r="DA40" s="157">
        <f>CY40*CZ40</f>
        <v>4999993.47</v>
      </c>
      <c r="DB40" s="217">
        <v>32.130000000000003</v>
      </c>
      <c r="DC40" s="159">
        <v>153327</v>
      </c>
      <c r="DD40" s="157">
        <f t="shared" si="43"/>
        <v>4926396.5100000007</v>
      </c>
      <c r="DE40" s="217">
        <v>31.25</v>
      </c>
      <c r="DF40" s="159">
        <v>153327</v>
      </c>
      <c r="DG40" s="157">
        <f t="shared" si="37"/>
        <v>4791468.75</v>
      </c>
      <c r="DH40" s="217">
        <v>31.65</v>
      </c>
      <c r="DI40" s="159">
        <v>153327</v>
      </c>
      <c r="DJ40" s="230">
        <f t="shared" si="38"/>
        <v>4852799.55</v>
      </c>
      <c r="DK40" s="216">
        <v>32.6</v>
      </c>
      <c r="DL40" s="159">
        <v>153327</v>
      </c>
      <c r="DM40" s="157">
        <f t="shared" si="39"/>
        <v>4998460.2</v>
      </c>
    </row>
    <row r="41" spans="2:117" ht="15.5" x14ac:dyDescent="0.35">
      <c r="B41" s="154">
        <v>11</v>
      </c>
      <c r="C41" s="213" t="s">
        <v>6</v>
      </c>
      <c r="D41" s="216">
        <v>99.49</v>
      </c>
      <c r="E41" s="159">
        <v>47792</v>
      </c>
      <c r="F41" s="157">
        <f t="shared" si="3"/>
        <v>4754826.08</v>
      </c>
      <c r="G41" s="216">
        <v>101.3</v>
      </c>
      <c r="H41" s="159">
        <v>47792</v>
      </c>
      <c r="I41" s="157">
        <f t="shared" si="4"/>
        <v>4841329.5999999996</v>
      </c>
      <c r="J41" s="216">
        <v>102.22</v>
      </c>
      <c r="K41" s="159">
        <v>47792</v>
      </c>
      <c r="L41" s="157">
        <f t="shared" si="5"/>
        <v>4885298.24</v>
      </c>
      <c r="M41" s="216">
        <v>101.92</v>
      </c>
      <c r="N41" s="159">
        <v>47792</v>
      </c>
      <c r="O41" s="157">
        <f t="shared" si="2"/>
        <v>4870960.6399999997</v>
      </c>
      <c r="P41" s="216">
        <v>102.66</v>
      </c>
      <c r="Q41" s="159">
        <v>47792</v>
      </c>
      <c r="R41" s="157">
        <f t="shared" si="6"/>
        <v>4906326.72</v>
      </c>
      <c r="S41" s="216">
        <v>106.26</v>
      </c>
      <c r="T41" s="159">
        <v>47792</v>
      </c>
      <c r="U41" s="157">
        <f t="shared" si="7"/>
        <v>5078377.92</v>
      </c>
      <c r="V41" s="220">
        <v>105.95</v>
      </c>
      <c r="W41" s="159">
        <v>47792</v>
      </c>
      <c r="X41" s="157">
        <f t="shared" si="8"/>
        <v>5063562.4000000004</v>
      </c>
      <c r="Y41" s="220">
        <v>106.67</v>
      </c>
      <c r="Z41" s="159">
        <v>47792</v>
      </c>
      <c r="AA41" s="157">
        <f t="shared" si="9"/>
        <v>5097972.6399999997</v>
      </c>
      <c r="AB41" s="220">
        <v>106.05</v>
      </c>
      <c r="AC41" s="159">
        <v>47792</v>
      </c>
      <c r="AD41" s="157">
        <f t="shared" si="10"/>
        <v>5068341.5999999996</v>
      </c>
      <c r="AE41" s="216">
        <v>103.78</v>
      </c>
      <c r="AF41" s="159">
        <v>47792</v>
      </c>
      <c r="AG41" s="157">
        <f t="shared" si="11"/>
        <v>4959853.76</v>
      </c>
      <c r="AH41" s="216">
        <v>104.09</v>
      </c>
      <c r="AI41" s="159">
        <v>47792</v>
      </c>
      <c r="AJ41" s="157">
        <f t="shared" si="12"/>
        <v>4974669.28</v>
      </c>
      <c r="AK41" s="216">
        <v>105.9</v>
      </c>
      <c r="AL41" s="159">
        <v>47792</v>
      </c>
      <c r="AM41" s="157">
        <f t="shared" si="13"/>
        <v>5061172.8</v>
      </c>
      <c r="AN41" s="216">
        <v>106.27</v>
      </c>
      <c r="AO41" s="159">
        <v>47792</v>
      </c>
      <c r="AP41" s="230">
        <f t="shared" si="14"/>
        <v>5078855.84</v>
      </c>
      <c r="AQ41" s="217">
        <v>106.85</v>
      </c>
      <c r="AR41" s="159">
        <v>47792</v>
      </c>
      <c r="AS41" s="157">
        <f t="shared" si="15"/>
        <v>5106575.2</v>
      </c>
      <c r="AT41" s="216">
        <v>105.71</v>
      </c>
      <c r="AU41" s="159">
        <v>47792</v>
      </c>
      <c r="AV41" s="157">
        <f t="shared" si="16"/>
        <v>5052092.3199999994</v>
      </c>
      <c r="AW41" s="216">
        <v>109.65</v>
      </c>
      <c r="AX41" s="159">
        <v>47792</v>
      </c>
      <c r="AY41" s="157">
        <f t="shared" si="17"/>
        <v>5240392.8</v>
      </c>
      <c r="AZ41" s="216">
        <v>107.17</v>
      </c>
      <c r="BA41" s="159">
        <v>47792</v>
      </c>
      <c r="BB41" s="157">
        <f t="shared" si="18"/>
        <v>5121868.6399999997</v>
      </c>
      <c r="BC41" s="216">
        <v>106.17</v>
      </c>
      <c r="BD41" s="159">
        <v>47792</v>
      </c>
      <c r="BE41" s="230">
        <f t="shared" si="19"/>
        <v>5074076.6399999997</v>
      </c>
      <c r="BF41" s="217">
        <v>106.88</v>
      </c>
      <c r="BG41" s="159">
        <v>47792</v>
      </c>
      <c r="BH41" s="157">
        <f t="shared" si="20"/>
        <v>5108008.96</v>
      </c>
      <c r="BI41" s="216">
        <v>107.96</v>
      </c>
      <c r="BJ41" s="159">
        <v>47792</v>
      </c>
      <c r="BK41" s="157">
        <f t="shared" si="21"/>
        <v>5159624.3199999994</v>
      </c>
      <c r="BL41" s="216">
        <v>107.97</v>
      </c>
      <c r="BM41" s="159">
        <v>47792</v>
      </c>
      <c r="BN41" s="157">
        <f t="shared" si="40"/>
        <v>5160102.24</v>
      </c>
      <c r="BO41" s="216">
        <v>108.87</v>
      </c>
      <c r="BP41" s="159">
        <v>47792</v>
      </c>
      <c r="BQ41" s="157">
        <f t="shared" si="23"/>
        <v>5203115.04</v>
      </c>
      <c r="BR41" s="216">
        <v>109.58</v>
      </c>
      <c r="BS41" s="159">
        <v>47792</v>
      </c>
      <c r="BT41" s="230">
        <f t="shared" si="24"/>
        <v>5237047.3600000003</v>
      </c>
      <c r="BU41" s="217">
        <v>108.77</v>
      </c>
      <c r="BV41" s="159">
        <v>47792</v>
      </c>
      <c r="BW41" s="157">
        <f t="shared" si="25"/>
        <v>5198335.84</v>
      </c>
      <c r="BX41" s="216">
        <v>109.8</v>
      </c>
      <c r="BY41" s="159">
        <v>47792</v>
      </c>
      <c r="BZ41" s="157">
        <f t="shared" ref="BZ41:BZ42" si="47">BX41*BY41</f>
        <v>5247561.5999999996</v>
      </c>
      <c r="CA41" s="216">
        <v>107.43</v>
      </c>
      <c r="CB41" s="159">
        <v>47792</v>
      </c>
      <c r="CC41" s="157">
        <f t="shared" si="41"/>
        <v>5134294.5600000005</v>
      </c>
      <c r="CD41" s="216">
        <v>107.71</v>
      </c>
      <c r="CE41" s="159">
        <v>47792</v>
      </c>
      <c r="CF41" s="157">
        <f t="shared" si="28"/>
        <v>5147676.3199999994</v>
      </c>
      <c r="CG41" s="216">
        <v>107.87</v>
      </c>
      <c r="CH41" s="159">
        <v>47792</v>
      </c>
      <c r="CI41" s="230">
        <f t="shared" si="29"/>
        <v>5155323.04</v>
      </c>
      <c r="CJ41" s="216">
        <v>109.96</v>
      </c>
      <c r="CK41" s="159">
        <v>47792</v>
      </c>
      <c r="CL41" s="157">
        <f t="shared" ref="CL41:CL42" si="48">CJ41*CK41</f>
        <v>5255208.3199999994</v>
      </c>
      <c r="CM41" s="216">
        <v>106.69</v>
      </c>
      <c r="CN41" s="159">
        <v>47792</v>
      </c>
      <c r="CO41" s="157">
        <f t="shared" si="42"/>
        <v>5098928.4799999995</v>
      </c>
      <c r="CP41" s="216">
        <v>107.54</v>
      </c>
      <c r="CQ41" s="159">
        <v>47792</v>
      </c>
      <c r="CR41" s="157">
        <f t="shared" si="32"/>
        <v>5139551.6800000006</v>
      </c>
      <c r="CS41" s="216">
        <v>106.91</v>
      </c>
      <c r="CT41" s="159">
        <v>47792</v>
      </c>
      <c r="CU41" s="230">
        <f t="shared" si="33"/>
        <v>5109442.72</v>
      </c>
      <c r="CV41" s="217">
        <v>105.35</v>
      </c>
      <c r="CW41" s="159">
        <v>47792</v>
      </c>
      <c r="CX41" s="157">
        <f t="shared" si="34"/>
        <v>5034887.2</v>
      </c>
      <c r="CY41" s="216">
        <v>104.29</v>
      </c>
      <c r="CZ41" s="159">
        <v>47792</v>
      </c>
      <c r="DA41" s="157">
        <f t="shared" ref="DA41:DA42" si="49">CY41*CZ41</f>
        <v>4984227.6800000006</v>
      </c>
      <c r="DB41" s="216">
        <v>103.79</v>
      </c>
      <c r="DC41" s="159">
        <v>47792</v>
      </c>
      <c r="DD41" s="157">
        <f t="shared" si="43"/>
        <v>4960331.6800000006</v>
      </c>
      <c r="DE41" s="216">
        <v>100.95</v>
      </c>
      <c r="DF41" s="159">
        <v>47792</v>
      </c>
      <c r="DG41" s="157">
        <f t="shared" si="37"/>
        <v>4824602.4000000004</v>
      </c>
      <c r="DH41" s="216">
        <v>103.44</v>
      </c>
      <c r="DI41" s="159">
        <v>47792</v>
      </c>
      <c r="DJ41" s="230">
        <f t="shared" si="38"/>
        <v>4943604.4799999995</v>
      </c>
      <c r="DK41" s="217">
        <v>105.41</v>
      </c>
      <c r="DL41" s="159">
        <v>47792</v>
      </c>
      <c r="DM41" s="157">
        <f t="shared" si="39"/>
        <v>5037754.72</v>
      </c>
    </row>
    <row r="42" spans="2:117" ht="16" thickBot="1" x14ac:dyDescent="0.4">
      <c r="B42" s="155">
        <v>12</v>
      </c>
      <c r="C42" s="214" t="s">
        <v>5</v>
      </c>
      <c r="D42" s="218">
        <v>24.68</v>
      </c>
      <c r="E42" s="160">
        <v>24257</v>
      </c>
      <c r="F42" s="219">
        <f t="shared" si="3"/>
        <v>598662.76</v>
      </c>
      <c r="G42" s="218">
        <v>158.96</v>
      </c>
      <c r="H42" s="160">
        <v>24257</v>
      </c>
      <c r="I42" s="219">
        <f t="shared" si="4"/>
        <v>3855892.72</v>
      </c>
      <c r="J42" s="218">
        <v>159</v>
      </c>
      <c r="K42" s="160">
        <v>24257</v>
      </c>
      <c r="L42" s="219">
        <f t="shared" si="5"/>
        <v>3856863</v>
      </c>
      <c r="M42" s="218">
        <v>160.12</v>
      </c>
      <c r="N42" s="160">
        <v>24257</v>
      </c>
      <c r="O42" s="219">
        <f t="shared" si="2"/>
        <v>3884030.8400000003</v>
      </c>
      <c r="P42" s="218">
        <v>160.72</v>
      </c>
      <c r="Q42" s="160">
        <v>24257</v>
      </c>
      <c r="R42" s="219">
        <f t="shared" si="6"/>
        <v>3898585.04</v>
      </c>
      <c r="S42" s="218">
        <v>168.87</v>
      </c>
      <c r="T42" s="160">
        <v>24257</v>
      </c>
      <c r="U42" s="219">
        <f t="shared" si="7"/>
        <v>4096279.5900000003</v>
      </c>
      <c r="V42" s="218">
        <v>167.55</v>
      </c>
      <c r="W42" s="160">
        <v>24257</v>
      </c>
      <c r="X42" s="219">
        <f t="shared" si="8"/>
        <v>4064260.35</v>
      </c>
      <c r="Y42" s="221">
        <v>168.72</v>
      </c>
      <c r="Z42" s="160">
        <v>24257</v>
      </c>
      <c r="AA42" s="219">
        <f t="shared" si="9"/>
        <v>4092641.04</v>
      </c>
      <c r="AB42" s="221">
        <v>167.88</v>
      </c>
      <c r="AC42" s="160">
        <v>24257</v>
      </c>
      <c r="AD42" s="219">
        <f t="shared" si="10"/>
        <v>4072265.1599999997</v>
      </c>
      <c r="AE42" s="218">
        <v>162.54</v>
      </c>
      <c r="AF42" s="160">
        <v>24257</v>
      </c>
      <c r="AG42" s="219">
        <f t="shared" si="11"/>
        <v>3942732.78</v>
      </c>
      <c r="AH42" s="218">
        <v>162.56</v>
      </c>
      <c r="AI42" s="160">
        <v>24257</v>
      </c>
      <c r="AJ42" s="219">
        <f t="shared" si="12"/>
        <v>3943217.92</v>
      </c>
      <c r="AK42" s="218">
        <v>166.7</v>
      </c>
      <c r="AL42" s="160">
        <v>24257</v>
      </c>
      <c r="AM42" s="219">
        <f t="shared" si="13"/>
        <v>4043641.9</v>
      </c>
      <c r="AN42" s="218">
        <v>166.54</v>
      </c>
      <c r="AO42" s="160">
        <v>24257</v>
      </c>
      <c r="AP42" s="231">
        <f t="shared" si="14"/>
        <v>4039760.78</v>
      </c>
      <c r="AQ42" s="218">
        <v>167</v>
      </c>
      <c r="AR42" s="160">
        <v>24257</v>
      </c>
      <c r="AS42" s="219">
        <f t="shared" si="15"/>
        <v>4050919</v>
      </c>
      <c r="AT42" s="218">
        <v>165.18</v>
      </c>
      <c r="AU42" s="160">
        <v>24257</v>
      </c>
      <c r="AV42" s="219">
        <f t="shared" si="16"/>
        <v>4006771.2600000002</v>
      </c>
      <c r="AW42" s="218">
        <v>170.44</v>
      </c>
      <c r="AX42" s="160">
        <v>24257</v>
      </c>
      <c r="AY42" s="219">
        <f t="shared" si="17"/>
        <v>4134363.08</v>
      </c>
      <c r="AZ42" s="218">
        <v>166.45</v>
      </c>
      <c r="BA42" s="160">
        <v>24257</v>
      </c>
      <c r="BB42" s="219">
        <f t="shared" si="18"/>
        <v>4037577.65</v>
      </c>
      <c r="BC42" s="218">
        <v>164.54</v>
      </c>
      <c r="BD42" s="160">
        <v>24257</v>
      </c>
      <c r="BE42" s="231">
        <f t="shared" si="19"/>
        <v>3991246.78</v>
      </c>
      <c r="BF42" s="218">
        <v>170.05</v>
      </c>
      <c r="BG42" s="160">
        <v>24257</v>
      </c>
      <c r="BH42" s="219">
        <f t="shared" si="20"/>
        <v>4124902.85</v>
      </c>
      <c r="BI42" s="218">
        <v>171.3</v>
      </c>
      <c r="BJ42" s="160">
        <v>24257</v>
      </c>
      <c r="BK42" s="219">
        <f t="shared" si="21"/>
        <v>4155224.1</v>
      </c>
      <c r="BL42" s="218">
        <v>170.56</v>
      </c>
      <c r="BM42" s="160">
        <v>24257</v>
      </c>
      <c r="BN42" s="219">
        <f t="shared" si="40"/>
        <v>4137273.92</v>
      </c>
      <c r="BO42" s="218">
        <v>173.75</v>
      </c>
      <c r="BP42" s="160">
        <v>24257</v>
      </c>
      <c r="BQ42" s="219">
        <f t="shared" si="23"/>
        <v>4214653.75</v>
      </c>
      <c r="BR42" s="218">
        <v>176.12</v>
      </c>
      <c r="BS42" s="160">
        <v>24257</v>
      </c>
      <c r="BT42" s="231">
        <f t="shared" si="24"/>
        <v>4272142.84</v>
      </c>
      <c r="BU42" s="218">
        <v>175.76</v>
      </c>
      <c r="BV42" s="160">
        <v>24257</v>
      </c>
      <c r="BW42" s="219">
        <f t="shared" si="25"/>
        <v>4263410.3199999994</v>
      </c>
      <c r="BX42" s="218">
        <v>176.62</v>
      </c>
      <c r="BY42" s="160">
        <v>24257</v>
      </c>
      <c r="BZ42" s="219">
        <f t="shared" si="47"/>
        <v>4284271.34</v>
      </c>
      <c r="CA42" s="218">
        <v>175.12</v>
      </c>
      <c r="CB42" s="160">
        <v>24257</v>
      </c>
      <c r="CC42" s="219">
        <f t="shared" si="41"/>
        <v>4247885.84</v>
      </c>
      <c r="CD42" s="218">
        <v>174.83</v>
      </c>
      <c r="CE42" s="160">
        <v>24257</v>
      </c>
      <c r="CF42" s="219">
        <f t="shared" si="28"/>
        <v>4240851.3100000005</v>
      </c>
      <c r="CG42" s="218">
        <v>174.71</v>
      </c>
      <c r="CH42" s="160">
        <v>24257</v>
      </c>
      <c r="CI42" s="231">
        <f t="shared" si="29"/>
        <v>4237940.47</v>
      </c>
      <c r="CJ42" s="218">
        <v>174.56</v>
      </c>
      <c r="CK42" s="160">
        <v>24257</v>
      </c>
      <c r="CL42" s="219">
        <f t="shared" si="48"/>
        <v>4234301.92</v>
      </c>
      <c r="CM42" s="218">
        <v>172.43</v>
      </c>
      <c r="CN42" s="160">
        <v>24257</v>
      </c>
      <c r="CO42" s="219">
        <f t="shared" si="42"/>
        <v>4182634.5100000002</v>
      </c>
      <c r="CP42" s="218">
        <v>174.88</v>
      </c>
      <c r="CQ42" s="160">
        <v>24257</v>
      </c>
      <c r="CR42" s="219">
        <f t="shared" si="32"/>
        <v>4242064.16</v>
      </c>
      <c r="CS42" s="218">
        <v>174.35</v>
      </c>
      <c r="CT42" s="160">
        <v>24257</v>
      </c>
      <c r="CU42" s="231">
        <f t="shared" si="33"/>
        <v>4229207.95</v>
      </c>
      <c r="CV42" s="218">
        <v>163.09</v>
      </c>
      <c r="CW42" s="160">
        <v>24257</v>
      </c>
      <c r="CX42" s="219">
        <f t="shared" si="34"/>
        <v>3956074.13</v>
      </c>
      <c r="CY42" s="218">
        <v>161.08000000000001</v>
      </c>
      <c r="CZ42" s="160">
        <v>24257</v>
      </c>
      <c r="DA42" s="219">
        <f t="shared" si="49"/>
        <v>3907317.5600000005</v>
      </c>
      <c r="DB42" s="218">
        <v>161.08000000000001</v>
      </c>
      <c r="DC42" s="160">
        <v>24257</v>
      </c>
      <c r="DD42" s="219">
        <f t="shared" si="43"/>
        <v>3907317.5600000005</v>
      </c>
      <c r="DE42" s="218">
        <v>154.38999999999999</v>
      </c>
      <c r="DF42" s="160">
        <v>24257</v>
      </c>
      <c r="DG42" s="219">
        <f t="shared" si="37"/>
        <v>3745038.2299999995</v>
      </c>
      <c r="DH42" s="218">
        <v>157.26</v>
      </c>
      <c r="DI42" s="160">
        <v>24257</v>
      </c>
      <c r="DJ42" s="231">
        <f t="shared" si="38"/>
        <v>3814655.82</v>
      </c>
      <c r="DK42" s="218">
        <v>164.51</v>
      </c>
      <c r="DL42" s="160">
        <v>24257</v>
      </c>
      <c r="DM42" s="219">
        <f t="shared" si="39"/>
        <v>3990519.07</v>
      </c>
    </row>
    <row r="43" spans="2:117" ht="16" thickBot="1" x14ac:dyDescent="0.4">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row>
    <row r="44" spans="2:117" ht="16" thickBot="1" x14ac:dyDescent="0.4">
      <c r="B44" s="40"/>
      <c r="C44" s="152" t="s">
        <v>100</v>
      </c>
      <c r="D44" s="40"/>
      <c r="E44" s="151">
        <f>SUM(E31:E42)</f>
        <v>1525532</v>
      </c>
      <c r="F44" s="151">
        <f>SUM(F31:F42)</f>
        <v>94260157.200000018</v>
      </c>
      <c r="G44" s="40"/>
      <c r="H44" s="151">
        <f>SUM(H31:H42)</f>
        <v>1525532</v>
      </c>
      <c r="I44" s="151">
        <f>SUM(I31:I42)</f>
        <v>98138335.590000004</v>
      </c>
      <c r="J44" s="40"/>
      <c r="K44" s="151">
        <f>SUM(K31:K42)</f>
        <v>1525532</v>
      </c>
      <c r="L44" s="151">
        <f>SUM(L31:L42)</f>
        <v>98288744.910000011</v>
      </c>
      <c r="M44" s="40"/>
      <c r="N44" s="151">
        <f>SUM(N31:N42)</f>
        <v>1525532</v>
      </c>
      <c r="O44" s="151">
        <f>SUM(O31:O42)</f>
        <v>98843363.26000002</v>
      </c>
      <c r="P44" s="40"/>
      <c r="Q44" s="151">
        <f>SUM(Q31:Q42)</f>
        <v>1525532</v>
      </c>
      <c r="R44" s="151">
        <f>SUM(R31:R42)</f>
        <v>98552799.110000014</v>
      </c>
      <c r="S44" s="40"/>
      <c r="T44" s="151">
        <f>SUM(T31:T42)</f>
        <v>1525532</v>
      </c>
      <c r="U44" s="151">
        <f>SUM(U31:U42)</f>
        <v>100795895.69000001</v>
      </c>
      <c r="V44" s="40"/>
      <c r="W44" s="151">
        <f>SUM(W31:W42)</f>
        <v>1525532</v>
      </c>
      <c r="X44" s="151">
        <f>SUM(X31:X42)</f>
        <v>94099602.86999999</v>
      </c>
      <c r="Y44" s="40"/>
      <c r="Z44" s="151">
        <f>SUM(Z31:Z42)</f>
        <v>1525532</v>
      </c>
      <c r="AA44" s="151">
        <f>SUM(AA31:AA42)</f>
        <v>94319304.060000002</v>
      </c>
      <c r="AB44" s="40"/>
      <c r="AC44" s="151">
        <f>SUM(AC31:AC42)</f>
        <v>1525532</v>
      </c>
      <c r="AD44" s="151">
        <f>SUM(AD31:AD42)</f>
        <v>93281419.909999996</v>
      </c>
      <c r="AE44" s="40"/>
      <c r="AF44" s="151">
        <f>SUM(AF31:AF42)</f>
        <v>1525532</v>
      </c>
      <c r="AG44" s="151">
        <f>SUM(AG31:AG42)</f>
        <v>97580702.850000009</v>
      </c>
      <c r="AH44" s="40"/>
      <c r="AI44" s="151">
        <f>SUM(AI31:AI42)</f>
        <v>1525532</v>
      </c>
      <c r="AJ44" s="151">
        <f>SUM(AJ31:AJ42)</f>
        <v>100282283.32000001</v>
      </c>
      <c r="AK44" s="40"/>
      <c r="AL44" s="151">
        <f>SUM(AL31:AL42)</f>
        <v>1525532</v>
      </c>
      <c r="AM44" s="151">
        <f>SUM(AM31:AM42)</f>
        <v>99171828.490000024</v>
      </c>
      <c r="AN44" s="40"/>
      <c r="AO44" s="151">
        <f>SUM(AO31:AO42)</f>
        <v>1525532</v>
      </c>
      <c r="AP44" s="151">
        <f>SUM(AP31:AP42)</f>
        <v>99658269</v>
      </c>
      <c r="AQ44" s="40"/>
      <c r="AR44" s="151">
        <f>SUM(AR31:AR42)</f>
        <v>1525532</v>
      </c>
      <c r="AS44" s="151">
        <f>SUM(AS31:AS42)</f>
        <v>99546214.450000003</v>
      </c>
      <c r="AT44" s="40"/>
      <c r="AU44" s="151">
        <f>SUM(AU31:AU42)</f>
        <v>1525532</v>
      </c>
      <c r="AV44" s="151">
        <f>SUM(AV31:AV42)</f>
        <v>98838099.439999998</v>
      </c>
      <c r="AW44" s="40"/>
      <c r="AX44" s="151">
        <f>SUM(AX31:AX42)</f>
        <v>1525532</v>
      </c>
      <c r="AY44" s="151">
        <f>SUM(AY31:AY42)</f>
        <v>102664175.02999997</v>
      </c>
      <c r="AZ44" s="40"/>
      <c r="BA44" s="151">
        <f>SUM(BA31:BA42)</f>
        <v>1525532</v>
      </c>
      <c r="BB44" s="151">
        <f>SUM(BB31:BB42)</f>
        <v>101176476.25</v>
      </c>
      <c r="BC44" s="40"/>
      <c r="BD44" s="151">
        <f>SUM(BD31:BD42)</f>
        <v>1525532</v>
      </c>
      <c r="BE44" s="151">
        <f>SUM(BE31:BE42)</f>
        <v>99727703.960000008</v>
      </c>
      <c r="BF44" s="40"/>
      <c r="BG44" s="151">
        <f>SUM(BG31:BG42)</f>
        <v>1525532</v>
      </c>
      <c r="BH44" s="151">
        <f>SUM(BH31:BH42)</f>
        <v>102313592.88</v>
      </c>
      <c r="BI44" s="40"/>
      <c r="BJ44" s="151">
        <f>SUM(BJ31:BJ42)</f>
        <v>1525532</v>
      </c>
      <c r="BK44" s="151">
        <f>SUM(BK31:BK42)</f>
        <v>103277237.65999998</v>
      </c>
      <c r="BL44" s="40"/>
      <c r="BM44" s="151">
        <f>SUM(BM31:BM42)</f>
        <v>1525532</v>
      </c>
      <c r="BN44" s="151">
        <f>SUM(BN31:BN42)</f>
        <v>103228778.93000001</v>
      </c>
      <c r="BO44" s="40"/>
      <c r="BP44" s="151">
        <f>SUM(BP31:BP42)</f>
        <v>1525532</v>
      </c>
      <c r="BQ44" s="151">
        <f>SUM(BQ31:BQ42)</f>
        <v>106385813.84</v>
      </c>
      <c r="BR44" s="40"/>
      <c r="BS44" s="151">
        <f>SUM(BS31:BS42)</f>
        <v>1525532</v>
      </c>
      <c r="BT44" s="151">
        <f>SUM(BT31:BT42)</f>
        <v>106162603.48</v>
      </c>
      <c r="BU44" s="40"/>
      <c r="BV44" s="151">
        <f>SUM(BV31:BV42)</f>
        <v>1525532</v>
      </c>
      <c r="BW44" s="151">
        <f>SUM(BW31:BW42)</f>
        <v>105661173.55</v>
      </c>
      <c r="BX44" s="40"/>
      <c r="BY44" s="151">
        <f>SUM(BY31:BY42)</f>
        <v>1525532</v>
      </c>
      <c r="BZ44" s="151">
        <f>SUM(BZ31:BZ42)</f>
        <v>105904132.74000001</v>
      </c>
      <c r="CA44" s="40"/>
      <c r="CB44" s="151">
        <f>SUM(CB31:CB42)</f>
        <v>1525532</v>
      </c>
      <c r="CC44" s="151">
        <f>SUM(CC31:CC42)</f>
        <v>103976024.50000001</v>
      </c>
      <c r="CD44" s="40"/>
      <c r="CE44" s="151">
        <f>SUM(CE31:CE42)</f>
        <v>1525532</v>
      </c>
      <c r="CF44" s="151">
        <f>SUM(CF31:CF42)</f>
        <v>104303196.42999999</v>
      </c>
      <c r="CG44" s="40"/>
      <c r="CH44" s="151">
        <f>SUM(CH31:CH42)</f>
        <v>1525532</v>
      </c>
      <c r="CI44" s="151">
        <f>SUM(CI31:CI42)</f>
        <v>103895470.58</v>
      </c>
      <c r="CJ44" s="40"/>
      <c r="CK44" s="151">
        <f>SUM(CK31:CK42)</f>
        <v>1525532</v>
      </c>
      <c r="CL44" s="151">
        <f>SUM(CL31:CL42)</f>
        <v>103849683.31999999</v>
      </c>
      <c r="CM44" s="40"/>
      <c r="CN44" s="151">
        <f>SUM(CN31:CN42)</f>
        <v>1525532</v>
      </c>
      <c r="CO44" s="151">
        <f>SUM(CO31:CO42)</f>
        <v>102946347.21000001</v>
      </c>
      <c r="CP44" s="40"/>
      <c r="CQ44" s="151">
        <f>SUM(CQ31:CQ42)</f>
        <v>1525532</v>
      </c>
      <c r="CR44" s="151">
        <f>SUM(CR31:CR42)</f>
        <v>103478992.58</v>
      </c>
      <c r="CS44" s="40"/>
      <c r="CT44" s="151">
        <f>SUM(CT31:CT42)</f>
        <v>1525532</v>
      </c>
      <c r="CU44" s="151">
        <f>SUM(CU31:CU42)</f>
        <v>103790071.06999999</v>
      </c>
      <c r="CV44" s="40"/>
      <c r="CW44" s="151">
        <f>SUM(CW31:CW42)</f>
        <v>1525532</v>
      </c>
      <c r="CX44" s="151">
        <f>SUM(CX31:CX42)</f>
        <v>101941195.84999999</v>
      </c>
      <c r="CY44" s="40"/>
      <c r="CZ44" s="151">
        <f>SUM(CZ31:CZ42)</f>
        <v>1525532</v>
      </c>
      <c r="DA44" s="151">
        <f>SUM(DA31:DA42)</f>
        <v>100800655.42000002</v>
      </c>
      <c r="DB44" s="40"/>
      <c r="DC44" s="151">
        <f>SUM(DC31:DC42)</f>
        <v>1525532</v>
      </c>
      <c r="DD44" s="151">
        <f>SUM(DD31:DD42)</f>
        <v>99981657.660000026</v>
      </c>
      <c r="DE44" s="40"/>
      <c r="DF44" s="151">
        <f>SUM(DF31:DF42)</f>
        <v>1525532</v>
      </c>
      <c r="DG44" s="151">
        <f>SUM(DG31:DG42)</f>
        <v>97391503.88000001</v>
      </c>
      <c r="DH44" s="40"/>
      <c r="DI44" s="151">
        <f>SUM(DI31:DI42)</f>
        <v>1525532</v>
      </c>
      <c r="DJ44" s="151">
        <f>SUM(DJ31:DJ42)</f>
        <v>99143378.73999998</v>
      </c>
      <c r="DK44" s="40"/>
      <c r="DL44" s="151">
        <f>SUM(DL31:DL42)</f>
        <v>1525532</v>
      </c>
      <c r="DM44" s="151">
        <f>SUM(DM31:DM42)</f>
        <v>101800288.65000001</v>
      </c>
    </row>
    <row r="45" spans="2:117" ht="16" thickBot="1" x14ac:dyDescent="0.4">
      <c r="B45" s="40"/>
      <c r="C45" s="152" t="s">
        <v>182</v>
      </c>
      <c r="D45" s="40"/>
      <c r="E45" s="161"/>
      <c r="F45" s="151">
        <v>10000000</v>
      </c>
      <c r="G45" s="40"/>
      <c r="H45" s="161"/>
      <c r="I45" s="151">
        <v>10000000</v>
      </c>
      <c r="J45" s="40"/>
      <c r="K45" s="161"/>
      <c r="L45" s="151">
        <v>10000000</v>
      </c>
      <c r="M45" s="40"/>
      <c r="N45" s="161"/>
      <c r="O45" s="151">
        <v>10000000</v>
      </c>
      <c r="P45" s="40"/>
      <c r="Q45" s="161"/>
      <c r="R45" s="151">
        <v>10000000</v>
      </c>
      <c r="S45" s="40"/>
      <c r="T45" s="161"/>
      <c r="U45" s="151">
        <v>10000000</v>
      </c>
      <c r="V45" s="40"/>
      <c r="W45" s="161"/>
      <c r="X45" s="151">
        <v>10000000</v>
      </c>
      <c r="Y45" s="40"/>
      <c r="Z45" s="161"/>
      <c r="AA45" s="151">
        <v>10000000</v>
      </c>
      <c r="AB45" s="40"/>
      <c r="AC45" s="161"/>
      <c r="AD45" s="151">
        <v>10000000</v>
      </c>
      <c r="AE45" s="40"/>
      <c r="AF45" s="161"/>
      <c r="AG45" s="151">
        <v>10000000</v>
      </c>
      <c r="AH45" s="40"/>
      <c r="AI45" s="161"/>
      <c r="AJ45" s="151">
        <v>10000000</v>
      </c>
      <c r="AK45" s="40"/>
      <c r="AL45" s="161"/>
      <c r="AM45" s="151">
        <v>10000000</v>
      </c>
      <c r="AN45" s="40"/>
      <c r="AO45" s="161"/>
      <c r="AP45" s="151">
        <v>10000000</v>
      </c>
      <c r="AQ45" s="40"/>
      <c r="AR45" s="161"/>
      <c r="AS45" s="151">
        <v>10000000</v>
      </c>
      <c r="AT45" s="40"/>
      <c r="AU45" s="161"/>
      <c r="AV45" s="151">
        <v>10000000</v>
      </c>
      <c r="AW45" s="40"/>
      <c r="AX45" s="161"/>
      <c r="AY45" s="151">
        <v>10000000</v>
      </c>
      <c r="AZ45" s="40"/>
      <c r="BA45" s="161"/>
      <c r="BB45" s="151">
        <v>10000000</v>
      </c>
      <c r="BC45" s="40"/>
      <c r="BD45" s="161"/>
      <c r="BE45" s="151">
        <v>10000000</v>
      </c>
      <c r="BF45" s="40"/>
      <c r="BG45" s="161"/>
      <c r="BH45" s="151">
        <v>10000000</v>
      </c>
      <c r="BI45" s="40"/>
      <c r="BJ45" s="161"/>
      <c r="BK45" s="151">
        <v>10000000</v>
      </c>
      <c r="BL45" s="40"/>
      <c r="BM45" s="161"/>
      <c r="BN45" s="151">
        <v>10000000</v>
      </c>
      <c r="BO45" s="40"/>
      <c r="BP45" s="161"/>
      <c r="BQ45" s="151">
        <v>10000000</v>
      </c>
      <c r="BR45" s="40"/>
      <c r="BS45" s="161"/>
      <c r="BT45" s="151">
        <v>10000000</v>
      </c>
      <c r="BU45" s="40"/>
      <c r="BV45" s="161"/>
      <c r="BW45" s="151">
        <v>10000000</v>
      </c>
      <c r="BX45" s="40"/>
      <c r="BY45" s="161"/>
      <c r="BZ45" s="151">
        <v>10000000</v>
      </c>
      <c r="CA45" s="40"/>
      <c r="CB45" s="161"/>
      <c r="CC45" s="151">
        <v>10000000</v>
      </c>
      <c r="CD45" s="40"/>
      <c r="CE45" s="161"/>
      <c r="CF45" s="151">
        <v>10000000</v>
      </c>
      <c r="CG45" s="40"/>
      <c r="CH45" s="161"/>
      <c r="CI45" s="151">
        <v>10000000</v>
      </c>
      <c r="CJ45" s="40"/>
      <c r="CK45" s="161"/>
      <c r="CL45" s="151">
        <v>10000000</v>
      </c>
      <c r="CM45" s="40"/>
      <c r="CN45" s="161"/>
      <c r="CO45" s="151">
        <v>10000000</v>
      </c>
      <c r="CP45" s="40"/>
      <c r="CQ45" s="161"/>
      <c r="CR45" s="151">
        <v>10000000</v>
      </c>
      <c r="CS45" s="40"/>
      <c r="CT45" s="161"/>
      <c r="CU45" s="151">
        <v>10000000</v>
      </c>
      <c r="CV45" s="40"/>
      <c r="CW45" s="161"/>
      <c r="CX45" s="151">
        <v>10000000</v>
      </c>
      <c r="CY45" s="40"/>
      <c r="CZ45" s="161"/>
      <c r="DA45" s="151">
        <v>10000000</v>
      </c>
      <c r="DB45" s="40"/>
      <c r="DC45" s="161"/>
      <c r="DD45" s="151">
        <v>10000000</v>
      </c>
      <c r="DE45" s="40"/>
      <c r="DF45" s="161"/>
      <c r="DG45" s="151">
        <v>10000000</v>
      </c>
      <c r="DH45" s="40"/>
      <c r="DI45" s="161"/>
      <c r="DJ45" s="151">
        <v>10000000</v>
      </c>
      <c r="DK45" s="40"/>
      <c r="DL45" s="161"/>
      <c r="DM45" s="151">
        <v>10000000</v>
      </c>
    </row>
    <row r="46" spans="2:117" ht="16" thickBot="1" x14ac:dyDescent="0.4">
      <c r="B46" s="40"/>
      <c r="C46" s="152" t="s">
        <v>101</v>
      </c>
      <c r="D46" s="40"/>
      <c r="E46" s="40"/>
      <c r="F46" s="223">
        <f>F44/F45</f>
        <v>9.4260157200000023</v>
      </c>
      <c r="G46" s="40"/>
      <c r="H46" s="40"/>
      <c r="I46" s="223">
        <f>I44/I45</f>
        <v>9.8138335590000008</v>
      </c>
      <c r="J46" s="40"/>
      <c r="K46" s="40"/>
      <c r="L46" s="223">
        <f>L44/L45</f>
        <v>9.8288744910000005</v>
      </c>
      <c r="M46" s="40"/>
      <c r="N46" s="40"/>
      <c r="O46" s="223">
        <f>O44/O45</f>
        <v>9.8843363260000014</v>
      </c>
      <c r="P46" s="40"/>
      <c r="Q46" s="40"/>
      <c r="R46" s="223">
        <f>R44/R45</f>
        <v>9.855279911000002</v>
      </c>
      <c r="S46" s="40"/>
      <c r="T46" s="40"/>
      <c r="U46" s="223">
        <f>U44/U45</f>
        <v>10.079589569000001</v>
      </c>
      <c r="V46" s="40"/>
      <c r="W46" s="40"/>
      <c r="X46" s="223">
        <f>X44/X45</f>
        <v>9.4099602869999988</v>
      </c>
      <c r="Y46" s="40"/>
      <c r="Z46" s="40"/>
      <c r="AA46" s="223">
        <f>AA44/AA45</f>
        <v>9.4319304060000011</v>
      </c>
      <c r="AB46" s="40"/>
      <c r="AC46" s="40"/>
      <c r="AD46" s="223">
        <f>AD44/AD45</f>
        <v>9.328141990999999</v>
      </c>
      <c r="AE46" s="40"/>
      <c r="AF46" s="40"/>
      <c r="AG46" s="223">
        <f>AG44/AG45</f>
        <v>9.7580702850000005</v>
      </c>
      <c r="AH46" s="40"/>
      <c r="AI46" s="40"/>
      <c r="AJ46" s="223">
        <f>AJ44/AJ45</f>
        <v>10.028228332000001</v>
      </c>
      <c r="AK46" s="40"/>
      <c r="AL46" s="40"/>
      <c r="AM46" s="223">
        <f>AM44/AM45</f>
        <v>9.9171828490000031</v>
      </c>
      <c r="AN46" s="40"/>
      <c r="AO46" s="40"/>
      <c r="AP46" s="223">
        <f>AP44/AP45</f>
        <v>9.9658268999999997</v>
      </c>
      <c r="AQ46" s="40"/>
      <c r="AR46" s="40"/>
      <c r="AS46" s="223">
        <f>AS44/AS45</f>
        <v>9.9546214450000008</v>
      </c>
      <c r="AT46" s="40"/>
      <c r="AU46" s="40"/>
      <c r="AV46" s="223">
        <f>AV44/AV45</f>
        <v>9.8838099439999993</v>
      </c>
      <c r="AW46" s="40"/>
      <c r="AX46" s="40"/>
      <c r="AY46" s="223">
        <f>AY44/AY45</f>
        <v>10.266417502999998</v>
      </c>
      <c r="AZ46" s="40"/>
      <c r="BA46" s="40"/>
      <c r="BB46" s="223">
        <f>BB44/BB45</f>
        <v>10.117647625</v>
      </c>
      <c r="BC46" s="40"/>
      <c r="BD46" s="40"/>
      <c r="BE46" s="223">
        <f>BE44/BE45</f>
        <v>9.9727703960000014</v>
      </c>
      <c r="BF46" s="40"/>
      <c r="BG46" s="40"/>
      <c r="BH46" s="223">
        <f>BH44/BH45</f>
        <v>10.231359288</v>
      </c>
      <c r="BI46" s="40"/>
      <c r="BJ46" s="40"/>
      <c r="BK46" s="223">
        <f>BK44/BK45</f>
        <v>10.327723765999998</v>
      </c>
      <c r="BL46" s="40"/>
      <c r="BM46" s="40"/>
      <c r="BN46" s="223">
        <f>BN44/BN45</f>
        <v>10.322877893000001</v>
      </c>
      <c r="BO46" s="40"/>
      <c r="BP46" s="40"/>
      <c r="BQ46" s="223">
        <f>BQ44/BQ45</f>
        <v>10.638581384</v>
      </c>
      <c r="BR46" s="40"/>
      <c r="BS46" s="40"/>
      <c r="BT46" s="223">
        <f>BT44/BT45</f>
        <v>10.616260348000001</v>
      </c>
      <c r="BU46" s="40"/>
      <c r="BV46" s="40"/>
      <c r="BW46" s="223">
        <f>BW44/BW45</f>
        <v>10.566117354999999</v>
      </c>
      <c r="BX46" s="40"/>
      <c r="BY46" s="40"/>
      <c r="BZ46" s="223">
        <f>BZ44/BZ45</f>
        <v>10.590413274000001</v>
      </c>
      <c r="CA46" s="40"/>
      <c r="CB46" s="40"/>
      <c r="CC46" s="223">
        <f>CC44/CC45</f>
        <v>10.397602450000001</v>
      </c>
      <c r="CD46" s="40"/>
      <c r="CE46" s="40"/>
      <c r="CF46" s="223">
        <f>CF44/CF45</f>
        <v>10.430319642999999</v>
      </c>
      <c r="CG46" s="40"/>
      <c r="CH46" s="40"/>
      <c r="CI46" s="223">
        <f>CI44/CI45</f>
        <v>10.389547058</v>
      </c>
      <c r="CJ46" s="40"/>
      <c r="CK46" s="40"/>
      <c r="CL46" s="223">
        <f>CL44/CL45</f>
        <v>10.384968332</v>
      </c>
      <c r="CM46" s="40"/>
      <c r="CN46" s="40"/>
      <c r="CO46" s="223">
        <f>CO44/CO45</f>
        <v>10.294634721000001</v>
      </c>
      <c r="CP46" s="40"/>
      <c r="CQ46" s="40"/>
      <c r="CR46" s="223">
        <f>CR44/CR45</f>
        <v>10.347899258</v>
      </c>
      <c r="CS46" s="40"/>
      <c r="CT46" s="40"/>
      <c r="CU46" s="223">
        <f>CU44/CU45</f>
        <v>10.379007107</v>
      </c>
      <c r="CV46" s="40"/>
      <c r="CW46" s="40"/>
      <c r="CX46" s="223">
        <f>CX44/CX45</f>
        <v>10.194119584999999</v>
      </c>
      <c r="CY46" s="40"/>
      <c r="CZ46" s="40"/>
      <c r="DA46" s="223">
        <f>DA44/DA45</f>
        <v>10.080065542000002</v>
      </c>
      <c r="DB46" s="40"/>
      <c r="DC46" s="40"/>
      <c r="DD46" s="223">
        <f>DD44/DD45</f>
        <v>9.9981657660000032</v>
      </c>
      <c r="DE46" s="40"/>
      <c r="DF46" s="40"/>
      <c r="DG46" s="223">
        <f>DG44/DG45</f>
        <v>9.7391503880000005</v>
      </c>
      <c r="DH46" s="40"/>
      <c r="DI46" s="40"/>
      <c r="DJ46" s="223">
        <f>DJ44/DJ45</f>
        <v>9.9143378739999974</v>
      </c>
      <c r="DK46" s="40"/>
      <c r="DL46" s="40"/>
      <c r="DM46" s="223">
        <f>DM44/DM45</f>
        <v>10.180028865000001</v>
      </c>
    </row>
  </sheetData>
  <mergeCells count="169">
    <mergeCell ref="DE28:DG28"/>
    <mergeCell ref="DH28:DJ28"/>
    <mergeCell ref="DK28:DM28"/>
    <mergeCell ref="CY29:CY30"/>
    <mergeCell ref="CZ29:CZ30"/>
    <mergeCell ref="DA29:DA30"/>
    <mergeCell ref="DB29:DB30"/>
    <mergeCell ref="DC29:DC30"/>
    <mergeCell ref="DD29:DD30"/>
    <mergeCell ref="DE29:DE30"/>
    <mergeCell ref="DF29:DF30"/>
    <mergeCell ref="DG29:DG30"/>
    <mergeCell ref="DH29:DH30"/>
    <mergeCell ref="DI29:DI30"/>
    <mergeCell ref="DJ29:DJ30"/>
    <mergeCell ref="DK29:DK30"/>
    <mergeCell ref="DL29:DL30"/>
    <mergeCell ref="DM29:DM30"/>
    <mergeCell ref="CY27:DM27"/>
    <mergeCell ref="CJ28:CL28"/>
    <mergeCell ref="CM28:CO28"/>
    <mergeCell ref="CP28:CR28"/>
    <mergeCell ref="CS28:CU28"/>
    <mergeCell ref="CV28:CX28"/>
    <mergeCell ref="CJ29:CJ30"/>
    <mergeCell ref="CK29:CK30"/>
    <mergeCell ref="CL29:CL30"/>
    <mergeCell ref="CM29:CM30"/>
    <mergeCell ref="CN29:CN30"/>
    <mergeCell ref="CO29:CO30"/>
    <mergeCell ref="CP29:CP30"/>
    <mergeCell ref="CQ29:CQ30"/>
    <mergeCell ref="CR29:CR30"/>
    <mergeCell ref="CS29:CS30"/>
    <mergeCell ref="CT29:CT30"/>
    <mergeCell ref="CU29:CU30"/>
    <mergeCell ref="CV29:CV30"/>
    <mergeCell ref="CW29:CW30"/>
    <mergeCell ref="CX29:CX30"/>
    <mergeCell ref="CJ27:CX27"/>
    <mergeCell ref="CY28:DA28"/>
    <mergeCell ref="DB28:DD28"/>
    <mergeCell ref="CD28:CF28"/>
    <mergeCell ref="CG28:CI28"/>
    <mergeCell ref="BX29:BX30"/>
    <mergeCell ref="BY29:BY30"/>
    <mergeCell ref="BZ29:BZ30"/>
    <mergeCell ref="CA29:CA30"/>
    <mergeCell ref="CB29:CB30"/>
    <mergeCell ref="CC29:CC30"/>
    <mergeCell ref="CD29:CD30"/>
    <mergeCell ref="CE29:CE30"/>
    <mergeCell ref="CF29:CF30"/>
    <mergeCell ref="CG29:CG30"/>
    <mergeCell ref="CH29:CH30"/>
    <mergeCell ref="CI29:CI30"/>
    <mergeCell ref="BX27:CI27"/>
    <mergeCell ref="BI29:BI30"/>
    <mergeCell ref="BJ29:BJ30"/>
    <mergeCell ref="BK29:BK30"/>
    <mergeCell ref="BL29:BL30"/>
    <mergeCell ref="BM29:BM30"/>
    <mergeCell ref="BI27:BW27"/>
    <mergeCell ref="BI28:BK28"/>
    <mergeCell ref="BL28:BN28"/>
    <mergeCell ref="BO28:BQ28"/>
    <mergeCell ref="BR28:BT28"/>
    <mergeCell ref="BU28:BW28"/>
    <mergeCell ref="BS29:BS30"/>
    <mergeCell ref="BT29:BT30"/>
    <mergeCell ref="BU29:BU30"/>
    <mergeCell ref="BV29:BV30"/>
    <mergeCell ref="BW29:BW30"/>
    <mergeCell ref="BN29:BN30"/>
    <mergeCell ref="BO29:BO30"/>
    <mergeCell ref="BP29:BP30"/>
    <mergeCell ref="BQ29:BQ30"/>
    <mergeCell ref="BR29:BR30"/>
    <mergeCell ref="BX28:BZ28"/>
    <mergeCell ref="CA28:CC28"/>
    <mergeCell ref="AQ28:AS28"/>
    <mergeCell ref="AE27:AS27"/>
    <mergeCell ref="AH29:AH30"/>
    <mergeCell ref="AI29:AI30"/>
    <mergeCell ref="AJ29:AJ30"/>
    <mergeCell ref="AK29:AK30"/>
    <mergeCell ref="AL29:AL30"/>
    <mergeCell ref="AR29:AR30"/>
    <mergeCell ref="AS29:AS30"/>
    <mergeCell ref="AM29:AM30"/>
    <mergeCell ref="AN29:AN30"/>
    <mergeCell ref="AO29:AO30"/>
    <mergeCell ref="AP29:AP30"/>
    <mergeCell ref="AQ29:AQ30"/>
    <mergeCell ref="AE28:AG28"/>
    <mergeCell ref="AE29:AE30"/>
    <mergeCell ref="AF29:AF30"/>
    <mergeCell ref="AG29:AG30"/>
    <mergeCell ref="AH28:AJ28"/>
    <mergeCell ref="L29:L30"/>
    <mergeCell ref="S28:U28"/>
    <mergeCell ref="S29:S30"/>
    <mergeCell ref="AK28:AM28"/>
    <mergeCell ref="U29:U30"/>
    <mergeCell ref="P28:R28"/>
    <mergeCell ref="P29:P30"/>
    <mergeCell ref="Q29:Q30"/>
    <mergeCell ref="AN28:AP28"/>
    <mergeCell ref="S27:AD27"/>
    <mergeCell ref="AB28:AD28"/>
    <mergeCell ref="AB29:AB30"/>
    <mergeCell ref="AC29:AC30"/>
    <mergeCell ref="AD29:AD30"/>
    <mergeCell ref="V28:X28"/>
    <mergeCell ref="V29:V30"/>
    <mergeCell ref="W29:W30"/>
    <mergeCell ref="X29:X30"/>
    <mergeCell ref="Y28:AA28"/>
    <mergeCell ref="Y29:Y30"/>
    <mergeCell ref="Z29:Z30"/>
    <mergeCell ref="AA29:AA30"/>
    <mergeCell ref="B3:G3"/>
    <mergeCell ref="D4:D5"/>
    <mergeCell ref="E4:E5"/>
    <mergeCell ref="F4:F5"/>
    <mergeCell ref="D28:F28"/>
    <mergeCell ref="D29:D30"/>
    <mergeCell ref="E29:E30"/>
    <mergeCell ref="F29:F30"/>
    <mergeCell ref="G28:I28"/>
    <mergeCell ref="G29:G30"/>
    <mergeCell ref="H29:H30"/>
    <mergeCell ref="I29:I30"/>
    <mergeCell ref="B29:B30"/>
    <mergeCell ref="G4:G5"/>
    <mergeCell ref="C29:C30"/>
    <mergeCell ref="D27:R27"/>
    <mergeCell ref="R29:R30"/>
    <mergeCell ref="J28:L28"/>
    <mergeCell ref="J29:J30"/>
    <mergeCell ref="K29:K30"/>
    <mergeCell ref="M28:O28"/>
    <mergeCell ref="M29:M30"/>
    <mergeCell ref="N29:N30"/>
    <mergeCell ref="O29:O30"/>
    <mergeCell ref="AX29:AX30"/>
    <mergeCell ref="AT27:BH27"/>
    <mergeCell ref="AT28:AV28"/>
    <mergeCell ref="AW28:AY28"/>
    <mergeCell ref="AZ28:BB28"/>
    <mergeCell ref="BC28:BE28"/>
    <mergeCell ref="BF28:BH28"/>
    <mergeCell ref="B23:BH23"/>
    <mergeCell ref="B4:C5"/>
    <mergeCell ref="BD29:BD30"/>
    <mergeCell ref="BE29:BE30"/>
    <mergeCell ref="BF29:BF30"/>
    <mergeCell ref="BG29:BG30"/>
    <mergeCell ref="BH29:BH30"/>
    <mergeCell ref="AY29:AY30"/>
    <mergeCell ref="AZ29:AZ30"/>
    <mergeCell ref="BA29:BA30"/>
    <mergeCell ref="BB29:BB30"/>
    <mergeCell ref="BC29:BC30"/>
    <mergeCell ref="AT29:AT30"/>
    <mergeCell ref="AU29:AU30"/>
    <mergeCell ref="AV29:AV30"/>
    <mergeCell ref="AW29:AW30"/>
    <mergeCell ref="T29:T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F016-C127-4C0D-A395-047285AFE71C}">
  <dimension ref="B1:E61"/>
  <sheetViews>
    <sheetView zoomScale="71" workbookViewId="0">
      <pane ySplit="3" topLeftCell="A4" activePane="bottomLeft" state="frozen"/>
      <selection pane="bottomLeft"/>
    </sheetView>
  </sheetViews>
  <sheetFormatPr defaultRowHeight="14.5" x14ac:dyDescent="0.35"/>
  <cols>
    <col min="1" max="2" width="8.7265625" style="224"/>
    <col min="3" max="3" width="11.36328125" style="224" bestFit="1" customWidth="1"/>
    <col min="4" max="5" width="8.7265625" style="226"/>
    <col min="6" max="16384" width="8.7265625" style="224"/>
  </cols>
  <sheetData>
    <row r="1" spans="2:5" ht="15" thickBot="1" x14ac:dyDescent="0.4"/>
    <row r="2" spans="2:5" x14ac:dyDescent="0.35">
      <c r="B2" s="359" t="s">
        <v>191</v>
      </c>
      <c r="C2" s="361" t="s">
        <v>183</v>
      </c>
      <c r="D2" s="361" t="s">
        <v>184</v>
      </c>
      <c r="E2" s="363" t="s">
        <v>101</v>
      </c>
    </row>
    <row r="3" spans="2:5" ht="15" thickBot="1" x14ac:dyDescent="0.4">
      <c r="B3" s="360"/>
      <c r="C3" s="362"/>
      <c r="D3" s="362"/>
      <c r="E3" s="364"/>
    </row>
    <row r="4" spans="2:5" x14ac:dyDescent="0.35">
      <c r="B4" s="243" t="s">
        <v>187</v>
      </c>
      <c r="C4" s="244">
        <v>46153</v>
      </c>
      <c r="D4" s="245">
        <f>'Banking Sector - PSU'!K21</f>
        <v>948.2896435035384</v>
      </c>
      <c r="E4" s="246" t="s">
        <v>192</v>
      </c>
    </row>
    <row r="5" spans="2:5" x14ac:dyDescent="0.35">
      <c r="B5" s="233" t="s">
        <v>188</v>
      </c>
      <c r="C5" s="228">
        <v>46154</v>
      </c>
      <c r="D5" s="227">
        <f>'Banking Sector - PSU'!Q21</f>
        <v>991.25755815046568</v>
      </c>
      <c r="E5" s="234" t="s">
        <v>192</v>
      </c>
    </row>
    <row r="6" spans="2:5" x14ac:dyDescent="0.35">
      <c r="B6" s="233" t="s">
        <v>189</v>
      </c>
      <c r="C6" s="228">
        <v>46155</v>
      </c>
      <c r="D6" s="227">
        <f>'Banking Sector - PSU'!V21</f>
        <v>998.45023003107372</v>
      </c>
      <c r="E6" s="234" t="s">
        <v>192</v>
      </c>
    </row>
    <row r="7" spans="2:5" x14ac:dyDescent="0.35">
      <c r="B7" s="233" t="s">
        <v>188</v>
      </c>
      <c r="C7" s="228">
        <v>46156</v>
      </c>
      <c r="D7" s="227">
        <f>'Banking Sector - PSU'!AA21</f>
        <v>1011.5426271581733</v>
      </c>
      <c r="E7" s="234" t="s">
        <v>192</v>
      </c>
    </row>
    <row r="8" spans="2:5" x14ac:dyDescent="0.35">
      <c r="B8" s="233" t="s">
        <v>190</v>
      </c>
      <c r="C8" s="228">
        <v>46157</v>
      </c>
      <c r="D8" s="227">
        <f>'Banking Sector - PSU'!AF21</f>
        <v>983.14741646517518</v>
      </c>
      <c r="E8" s="234" t="s">
        <v>192</v>
      </c>
    </row>
    <row r="9" spans="2:5" x14ac:dyDescent="0.35">
      <c r="B9" s="233"/>
      <c r="C9" s="228"/>
      <c r="D9" s="227"/>
      <c r="E9" s="234"/>
    </row>
    <row r="10" spans="2:5" x14ac:dyDescent="0.35">
      <c r="B10" s="233" t="s">
        <v>187</v>
      </c>
      <c r="C10" s="228">
        <v>46160</v>
      </c>
      <c r="D10" s="227">
        <f>'Banking Sector - PSU'!AK21</f>
        <v>979.49557871126513</v>
      </c>
      <c r="E10" s="234">
        <f>'SECTOR FUND &amp; AUM'!F46</f>
        <v>9.4260157200000023</v>
      </c>
    </row>
    <row r="11" spans="2:5" x14ac:dyDescent="0.35">
      <c r="B11" s="233" t="s">
        <v>188</v>
      </c>
      <c r="C11" s="228">
        <v>46161</v>
      </c>
      <c r="D11" s="227">
        <f>'Banking Sector - PSU'!AP21</f>
        <v>1010.547730049165</v>
      </c>
      <c r="E11" s="234">
        <f>'SECTOR FUND &amp; AUM'!I46</f>
        <v>9.8138335590000008</v>
      </c>
    </row>
    <row r="12" spans="2:5" x14ac:dyDescent="0.35">
      <c r="B12" s="233" t="s">
        <v>189</v>
      </c>
      <c r="C12" s="228">
        <v>46162</v>
      </c>
      <c r="D12" s="227">
        <f>'Banking Sector - PSU'!AU21</f>
        <v>1000.721108382542</v>
      </c>
      <c r="E12" s="234">
        <f>'SECTOR FUND &amp; AUM'!L46</f>
        <v>9.8288744910000005</v>
      </c>
    </row>
    <row r="13" spans="2:5" x14ac:dyDescent="0.35">
      <c r="B13" s="233" t="s">
        <v>188</v>
      </c>
      <c r="C13" s="228">
        <v>46163</v>
      </c>
      <c r="D13" s="227">
        <f>'Banking Sector - PSU'!AZ21</f>
        <v>1002.2512690791848</v>
      </c>
      <c r="E13" s="234">
        <f>'SECTOR FUND &amp; AUM'!O46</f>
        <v>9.8843363260000014</v>
      </c>
    </row>
    <row r="14" spans="2:5" x14ac:dyDescent="0.35">
      <c r="B14" s="233" t="s">
        <v>190</v>
      </c>
      <c r="C14" s="228">
        <v>46164</v>
      </c>
      <c r="D14" s="227">
        <f>'Banking Sector - PSU'!BE21</f>
        <v>999.49588830033815</v>
      </c>
      <c r="E14" s="234">
        <f>'SECTOR FUND &amp; AUM'!R46</f>
        <v>9.855279911000002</v>
      </c>
    </row>
    <row r="15" spans="2:5" x14ac:dyDescent="0.35">
      <c r="B15" s="233"/>
      <c r="C15" s="228"/>
      <c r="D15" s="227"/>
      <c r="E15" s="234"/>
    </row>
    <row r="16" spans="2:5" x14ac:dyDescent="0.35">
      <c r="B16" s="233" t="s">
        <v>187</v>
      </c>
      <c r="C16" s="228">
        <v>46167</v>
      </c>
      <c r="D16" s="227">
        <f>'Banking Sector - PSU'!BJ21</f>
        <v>1025.7520273104037</v>
      </c>
      <c r="E16" s="234">
        <f>'SECTOR FUND &amp; AUM'!U46</f>
        <v>10.079589569000001</v>
      </c>
    </row>
    <row r="17" spans="2:5" x14ac:dyDescent="0.35">
      <c r="B17" s="233" t="s">
        <v>188</v>
      </c>
      <c r="C17" s="228">
        <v>46168</v>
      </c>
      <c r="D17" s="227">
        <f>'Banking Sector - PSU'!BO21</f>
        <v>996.79975317058938</v>
      </c>
      <c r="E17" s="234">
        <f>'SECTOR FUND &amp; AUM'!X46</f>
        <v>9.4099602869999988</v>
      </c>
    </row>
    <row r="18" spans="2:5" x14ac:dyDescent="0.35">
      <c r="B18" s="233" t="s">
        <v>189</v>
      </c>
      <c r="C18" s="228">
        <v>46169</v>
      </c>
      <c r="D18" s="227">
        <f>'Banking Sector - PSU'!BT21</f>
        <v>1001.7072059164809</v>
      </c>
      <c r="E18" s="234">
        <f>'SECTOR FUND &amp; AUM'!AA46</f>
        <v>9.4319304060000011</v>
      </c>
    </row>
    <row r="19" spans="2:5" x14ac:dyDescent="0.35">
      <c r="B19" s="233"/>
      <c r="C19" s="228"/>
      <c r="D19" s="227"/>
      <c r="E19" s="234"/>
    </row>
    <row r="20" spans="2:5" x14ac:dyDescent="0.35">
      <c r="B20" s="233" t="s">
        <v>190</v>
      </c>
      <c r="C20" s="228">
        <v>46171</v>
      </c>
      <c r="D20" s="227">
        <f>'Banking Sector - PSU'!BY21</f>
        <v>992.01924949208956</v>
      </c>
      <c r="E20" s="234">
        <f>'SECTOR FUND &amp; AUM'!AD46</f>
        <v>9.328141990999999</v>
      </c>
    </row>
    <row r="21" spans="2:5" x14ac:dyDescent="0.35">
      <c r="B21" s="233"/>
      <c r="C21" s="228"/>
      <c r="D21" s="227"/>
      <c r="E21" s="234"/>
    </row>
    <row r="22" spans="2:5" x14ac:dyDescent="0.35">
      <c r="B22" s="233" t="s">
        <v>187</v>
      </c>
      <c r="C22" s="228">
        <v>46174</v>
      </c>
      <c r="D22" s="227">
        <f>'Banking Sector - PSU'!CD21</f>
        <v>983.87151449806436</v>
      </c>
      <c r="E22" s="234">
        <f>'SECTOR FUND &amp; AUM'!AG46</f>
        <v>9.7580702850000005</v>
      </c>
    </row>
    <row r="23" spans="2:5" x14ac:dyDescent="0.35">
      <c r="B23" s="233" t="s">
        <v>188</v>
      </c>
      <c r="C23" s="228">
        <v>46175</v>
      </c>
      <c r="D23" s="227">
        <f>'Banking Sector - PSU'!CI21</f>
        <v>1012.5319902989008</v>
      </c>
      <c r="E23" s="234">
        <f>'SECTOR FUND &amp; AUM'!AJ46</f>
        <v>10.028228332000001</v>
      </c>
    </row>
    <row r="24" spans="2:5" x14ac:dyDescent="0.35">
      <c r="B24" s="233" t="s">
        <v>189</v>
      </c>
      <c r="C24" s="228">
        <v>46176</v>
      </c>
      <c r="D24" s="227">
        <f>'Banking Sector - PSU'!CN21</f>
        <v>998.76000584411076</v>
      </c>
      <c r="E24" s="234">
        <f>'SECTOR FUND &amp; AUM'!AM46</f>
        <v>9.9171828490000031</v>
      </c>
    </row>
    <row r="25" spans="2:5" x14ac:dyDescent="0.35">
      <c r="B25" s="233" t="s">
        <v>188</v>
      </c>
      <c r="C25" s="228">
        <v>46177</v>
      </c>
      <c r="D25" s="227">
        <f>'Banking Sector - PSU'!CS21</f>
        <v>1015.1245868314686</v>
      </c>
      <c r="E25" s="234">
        <f>'SECTOR FUND &amp; AUM'!AP46</f>
        <v>9.9658268999999997</v>
      </c>
    </row>
    <row r="26" spans="2:5" x14ac:dyDescent="0.35">
      <c r="B26" s="233" t="s">
        <v>190</v>
      </c>
      <c r="C26" s="228">
        <v>46178</v>
      </c>
      <c r="D26" s="227">
        <f>'Banking Sector - PSU'!CX21</f>
        <v>1001.7025587594085</v>
      </c>
      <c r="E26" s="234">
        <f>'SECTOR FUND &amp; AUM'!AS46</f>
        <v>9.9546214450000008</v>
      </c>
    </row>
    <row r="27" spans="2:5" x14ac:dyDescent="0.35">
      <c r="B27" s="233"/>
      <c r="C27" s="228"/>
      <c r="D27" s="227"/>
      <c r="E27" s="234"/>
    </row>
    <row r="28" spans="2:5" x14ac:dyDescent="0.35">
      <c r="B28" s="233" t="s">
        <v>187</v>
      </c>
      <c r="C28" s="228">
        <v>46181</v>
      </c>
      <c r="D28" s="227">
        <f>'Banking Sector - PSU'!DC21</f>
        <v>996.60023678704761</v>
      </c>
      <c r="E28" s="234">
        <f>'SECTOR FUND &amp; AUM'!AV46</f>
        <v>9.8838099439999993</v>
      </c>
    </row>
    <row r="29" spans="2:5" x14ac:dyDescent="0.35">
      <c r="B29" s="233" t="s">
        <v>188</v>
      </c>
      <c r="C29" s="228">
        <v>46182</v>
      </c>
      <c r="D29" s="227">
        <f>'Banking Sector - PSU'!DH21</f>
        <v>1031.0429610119563</v>
      </c>
      <c r="E29" s="234">
        <f>'SECTOR FUND &amp; AUM'!AY46</f>
        <v>10.266417502999998</v>
      </c>
    </row>
    <row r="30" spans="2:5" x14ac:dyDescent="0.35">
      <c r="B30" s="233" t="s">
        <v>189</v>
      </c>
      <c r="C30" s="228">
        <v>46183</v>
      </c>
      <c r="D30" s="227">
        <f>'Banking Sector - PSU'!DM21</f>
        <v>989.65006408417355</v>
      </c>
      <c r="E30" s="234">
        <f>'SECTOR FUND &amp; AUM'!BB46</f>
        <v>10.117647625</v>
      </c>
    </row>
    <row r="31" spans="2:5" x14ac:dyDescent="0.35">
      <c r="B31" s="233" t="s">
        <v>188</v>
      </c>
      <c r="C31" s="228">
        <v>46184</v>
      </c>
      <c r="D31" s="227">
        <f>'Banking Sector - PSU'!DR21</f>
        <v>992.30861586132983</v>
      </c>
      <c r="E31" s="234">
        <f>'SECTOR FUND &amp; AUM'!BE46</f>
        <v>9.9727703960000014</v>
      </c>
    </row>
    <row r="32" spans="2:5" x14ac:dyDescent="0.35">
      <c r="B32" s="233" t="s">
        <v>190</v>
      </c>
      <c r="C32" s="228">
        <v>46185</v>
      </c>
      <c r="D32" s="227">
        <f>'Banking Sector - PSU'!DW21</f>
        <v>1008.9738674278266</v>
      </c>
      <c r="E32" s="234">
        <f>'SECTOR FUND &amp; AUM'!BH46</f>
        <v>10.231359288</v>
      </c>
    </row>
    <row r="33" spans="2:5" x14ac:dyDescent="0.35">
      <c r="B33" s="235"/>
      <c r="C33" s="236"/>
      <c r="E33" s="237"/>
    </row>
    <row r="34" spans="2:5" x14ac:dyDescent="0.35">
      <c r="B34" s="233" t="s">
        <v>187</v>
      </c>
      <c r="C34" s="228">
        <v>46188</v>
      </c>
      <c r="D34" s="227">
        <f>'Banking Sector - PSU'!EB21</f>
        <v>1005.8916475713978</v>
      </c>
      <c r="E34" s="234">
        <f>'SECTOR FUND &amp; AUM'!BK46</f>
        <v>10.327723765999998</v>
      </c>
    </row>
    <row r="35" spans="2:5" x14ac:dyDescent="0.35">
      <c r="B35" s="233" t="s">
        <v>188</v>
      </c>
      <c r="C35" s="228">
        <v>46189</v>
      </c>
      <c r="D35" s="227">
        <f>'Banking Sector - PSU'!EG21</f>
        <v>997.15302793476837</v>
      </c>
      <c r="E35" s="234">
        <f>'SECTOR FUND &amp; AUM'!BN46</f>
        <v>10.322877893000001</v>
      </c>
    </row>
    <row r="36" spans="2:5" x14ac:dyDescent="0.35">
      <c r="B36" s="233" t="s">
        <v>189</v>
      </c>
      <c r="C36" s="228">
        <v>46190</v>
      </c>
      <c r="D36" s="227">
        <f>'Banking Sector - PSU'!EL21</f>
        <v>1017.6935414083313</v>
      </c>
      <c r="E36" s="234">
        <f>'SECTOR FUND &amp; AUM'!BQ46</f>
        <v>10.638581384</v>
      </c>
    </row>
    <row r="37" spans="2:5" x14ac:dyDescent="0.35">
      <c r="B37" s="233" t="s">
        <v>188</v>
      </c>
      <c r="C37" s="228">
        <v>46191</v>
      </c>
      <c r="D37" s="227">
        <f>'Banking Sector - PSU'!EQ21</f>
        <v>1008.3618144700988</v>
      </c>
      <c r="E37" s="234">
        <f>'SECTOR FUND &amp; AUM'!BT46</f>
        <v>10.616260348000001</v>
      </c>
    </row>
    <row r="38" spans="2:5" x14ac:dyDescent="0.35">
      <c r="B38" s="233" t="s">
        <v>190</v>
      </c>
      <c r="C38" s="228">
        <v>46192</v>
      </c>
      <c r="D38" s="227">
        <f>'Banking Sector - PSU'!EV21</f>
        <v>1000.68840290149</v>
      </c>
      <c r="E38" s="234">
        <f>'SECTOR FUND &amp; AUM'!BW46</f>
        <v>10.566117354999999</v>
      </c>
    </row>
    <row r="39" spans="2:5" x14ac:dyDescent="0.35">
      <c r="B39" s="235"/>
      <c r="C39" s="236"/>
      <c r="E39" s="237"/>
    </row>
    <row r="40" spans="2:5" x14ac:dyDescent="0.35">
      <c r="B40" s="233" t="s">
        <v>187</v>
      </c>
      <c r="C40" s="228">
        <v>46195</v>
      </c>
      <c r="D40" s="227">
        <f>'Banking Sector - PSU'!FA21</f>
        <v>1004.9202289068808</v>
      </c>
      <c r="E40" s="234">
        <f>'SECTOR FUND &amp; AUM'!BZ46</f>
        <v>10.590413274000001</v>
      </c>
    </row>
    <row r="41" spans="2:5" x14ac:dyDescent="0.35">
      <c r="B41" s="233" t="s">
        <v>188</v>
      </c>
      <c r="C41" s="228">
        <v>46196</v>
      </c>
      <c r="D41" s="227">
        <f>'Banking Sector - PSU'!FF21</f>
        <v>982.18419926379681</v>
      </c>
      <c r="E41" s="234">
        <f>'SECTOR FUND &amp; AUM'!CC46</f>
        <v>10.397602450000001</v>
      </c>
    </row>
    <row r="42" spans="2:5" x14ac:dyDescent="0.35">
      <c r="B42" s="233" t="s">
        <v>189</v>
      </c>
      <c r="C42" s="228">
        <v>46197</v>
      </c>
      <c r="D42" s="227">
        <f>'Banking Sector - PSU'!FK21</f>
        <v>1005.8649657775087</v>
      </c>
      <c r="E42" s="234">
        <f>'SECTOR FUND &amp; AUM'!CF46</f>
        <v>10.430319642999999</v>
      </c>
    </row>
    <row r="43" spans="2:5" x14ac:dyDescent="0.35">
      <c r="B43" s="233" t="s">
        <v>188</v>
      </c>
      <c r="C43" s="228">
        <v>46198</v>
      </c>
      <c r="D43" s="227">
        <f>'Banking Sector - PSU'!FP21</f>
        <v>1003.1078734279555</v>
      </c>
      <c r="E43" s="234">
        <f>'SECTOR FUND &amp; AUM'!CI46</f>
        <v>10.389547058</v>
      </c>
    </row>
    <row r="44" spans="2:5" x14ac:dyDescent="0.35">
      <c r="B44" s="235"/>
      <c r="E44" s="238"/>
    </row>
    <row r="45" spans="2:5" x14ac:dyDescent="0.35">
      <c r="B45" s="233" t="s">
        <v>187</v>
      </c>
      <c r="C45" s="228">
        <v>46202</v>
      </c>
      <c r="D45" s="227">
        <f>'Banking Sector - PSU'!FU21</f>
        <v>993.75858593613702</v>
      </c>
      <c r="E45" s="234">
        <f>'SECTOR FUND &amp; AUM'!CL46</f>
        <v>10.384968332</v>
      </c>
    </row>
    <row r="46" spans="2:5" x14ac:dyDescent="0.35">
      <c r="B46" s="233" t="s">
        <v>188</v>
      </c>
      <c r="C46" s="228">
        <v>46203</v>
      </c>
      <c r="D46" s="227">
        <f>'Banking Sector - PSU'!FZ21</f>
        <v>990.39980000905291</v>
      </c>
      <c r="E46" s="234">
        <f>'SECTOR FUND &amp; AUM'!CO46</f>
        <v>10.294634721000001</v>
      </c>
    </row>
    <row r="47" spans="2:5" x14ac:dyDescent="0.35">
      <c r="B47" s="233" t="s">
        <v>189</v>
      </c>
      <c r="C47" s="228">
        <v>46204</v>
      </c>
      <c r="D47" s="227">
        <f>'Banking Sector - PSU'!GE21</f>
        <v>1007.4394214622334</v>
      </c>
      <c r="E47" s="234">
        <f>'SECTOR FUND &amp; AUM'!CR46</f>
        <v>10.347899258</v>
      </c>
    </row>
    <row r="48" spans="2:5" x14ac:dyDescent="0.35">
      <c r="B48" s="233" t="s">
        <v>188</v>
      </c>
      <c r="C48" s="228">
        <v>46205</v>
      </c>
      <c r="D48" s="227">
        <f>'Banking Sector - PSU'!GJ21</f>
        <v>1001.8732529924256</v>
      </c>
      <c r="E48" s="234">
        <f>'SECTOR FUND &amp; AUM'!CU46</f>
        <v>10.379007107</v>
      </c>
    </row>
    <row r="49" spans="2:5" x14ac:dyDescent="0.35">
      <c r="B49" s="233" t="s">
        <v>190</v>
      </c>
      <c r="C49" s="228">
        <v>46206</v>
      </c>
      <c r="D49" s="227">
        <f>'Banking Sector - PSU'!GO21</f>
        <v>1005.9417312236253</v>
      </c>
      <c r="E49" s="234">
        <f>'SECTOR FUND &amp; AUM'!CX46</f>
        <v>10.194119584999999</v>
      </c>
    </row>
    <row r="50" spans="2:5" x14ac:dyDescent="0.35">
      <c r="B50" s="235"/>
      <c r="E50" s="238"/>
    </row>
    <row r="51" spans="2:5" x14ac:dyDescent="0.35">
      <c r="B51" s="233" t="s">
        <v>187</v>
      </c>
      <c r="C51" s="228">
        <v>46209</v>
      </c>
      <c r="D51" s="227">
        <f>'Banking Sector - PSU'!GT21</f>
        <v>994.28403286745538</v>
      </c>
      <c r="E51" s="234">
        <f>'SECTOR FUND &amp; AUM'!DA46</f>
        <v>10.080065542000002</v>
      </c>
    </row>
    <row r="52" spans="2:5" x14ac:dyDescent="0.35">
      <c r="B52" s="233" t="s">
        <v>188</v>
      </c>
      <c r="C52" s="228">
        <v>46210</v>
      </c>
      <c r="D52" s="227">
        <f>'Banking Sector - PSU'!GY21</f>
        <v>997.21740451723304</v>
      </c>
      <c r="E52" s="234">
        <f>'SECTOR FUND &amp; AUM'!DD46</f>
        <v>9.9981657660000032</v>
      </c>
    </row>
    <row r="53" spans="2:5" x14ac:dyDescent="0.35">
      <c r="B53" s="233" t="s">
        <v>189</v>
      </c>
      <c r="C53" s="228">
        <v>46211</v>
      </c>
      <c r="D53" s="227">
        <f>'Banking Sector - PSU'!HD21</f>
        <v>975.23632785098528</v>
      </c>
      <c r="E53" s="234">
        <f>'SECTOR FUND &amp; AUM'!DG46</f>
        <v>9.7391503880000005</v>
      </c>
    </row>
    <row r="54" spans="2:5" x14ac:dyDescent="0.35">
      <c r="B54" s="233" t="s">
        <v>188</v>
      </c>
      <c r="C54" s="228">
        <v>46212</v>
      </c>
      <c r="D54" s="227">
        <f>'Banking Sector - PSU'!HI21</f>
        <v>1013.6196673771918</v>
      </c>
      <c r="E54" s="234">
        <f>'SECTOR FUND &amp; AUM'!DJ46</f>
        <v>9.9143378739999974</v>
      </c>
    </row>
    <row r="55" spans="2:5" ht="15" thickBot="1" x14ac:dyDescent="0.4">
      <c r="B55" s="239" t="s">
        <v>190</v>
      </c>
      <c r="C55" s="240">
        <v>46213</v>
      </c>
      <c r="D55" s="241">
        <f>'Banking Sector - PSU'!HN21</f>
        <v>1019.0480949055055</v>
      </c>
      <c r="E55" s="242">
        <f>'SECTOR FUND &amp; AUM'!DM46</f>
        <v>10.180028865000001</v>
      </c>
    </row>
    <row r="60" spans="2:5" x14ac:dyDescent="0.35">
      <c r="C60" s="225"/>
    </row>
    <row r="61" spans="2:5" x14ac:dyDescent="0.35">
      <c r="C61" s="225"/>
    </row>
  </sheetData>
  <mergeCells count="4">
    <mergeCell ref="B2:B3"/>
    <mergeCell ref="C2:C3"/>
    <mergeCell ref="D2:D3"/>
    <mergeCell ref="E2:E3"/>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0EE1-9BD8-45F7-B51D-45545D3636FC}">
  <dimension ref="B2:AD48"/>
  <sheetViews>
    <sheetView zoomScale="45" zoomScaleNormal="63" workbookViewId="0"/>
  </sheetViews>
  <sheetFormatPr defaultRowHeight="14.5" x14ac:dyDescent="0.35"/>
  <cols>
    <col min="2" max="2" width="15" bestFit="1" customWidth="1"/>
    <col min="3" max="3" width="9.81640625" bestFit="1" customWidth="1"/>
    <col min="28" max="28" width="15" bestFit="1" customWidth="1"/>
    <col min="29" max="29" width="7.36328125" bestFit="1" customWidth="1"/>
  </cols>
  <sheetData>
    <row r="2" spans="2:29" ht="15.5" x14ac:dyDescent="0.35">
      <c r="B2" s="92" t="s">
        <v>204</v>
      </c>
      <c r="C2" s="92" t="s">
        <v>184</v>
      </c>
      <c r="AB2" s="92" t="s">
        <v>204</v>
      </c>
      <c r="AC2" s="92" t="s">
        <v>101</v>
      </c>
    </row>
    <row r="3" spans="2:29" ht="15.5" x14ac:dyDescent="0.35">
      <c r="B3" s="285">
        <v>46153</v>
      </c>
      <c r="C3" s="284">
        <v>948.28</v>
      </c>
      <c r="AB3" s="285">
        <v>46160</v>
      </c>
      <c r="AC3" s="286">
        <v>9.42</v>
      </c>
    </row>
    <row r="4" spans="2:29" ht="15.5" x14ac:dyDescent="0.35">
      <c r="B4" s="285">
        <v>46154</v>
      </c>
      <c r="C4" s="284">
        <v>991.25</v>
      </c>
      <c r="AB4" s="285">
        <v>46161</v>
      </c>
      <c r="AC4" s="286">
        <v>9.81</v>
      </c>
    </row>
    <row r="5" spans="2:29" ht="15.5" x14ac:dyDescent="0.35">
      <c r="B5" s="285">
        <v>46155</v>
      </c>
      <c r="C5" s="284">
        <v>998.45</v>
      </c>
      <c r="AB5" s="285">
        <v>46162</v>
      </c>
      <c r="AC5" s="286">
        <v>9.82</v>
      </c>
    </row>
    <row r="6" spans="2:29" ht="15.5" x14ac:dyDescent="0.35">
      <c r="B6" s="285">
        <v>46156</v>
      </c>
      <c r="C6" s="284">
        <v>1011.54</v>
      </c>
      <c r="AB6" s="285">
        <v>46163</v>
      </c>
      <c r="AC6" s="286">
        <v>9.85</v>
      </c>
    </row>
    <row r="7" spans="2:29" ht="15.5" x14ac:dyDescent="0.35">
      <c r="B7" s="285">
        <v>46157</v>
      </c>
      <c r="C7" s="284">
        <v>983.15</v>
      </c>
      <c r="AB7" s="285">
        <v>46164</v>
      </c>
      <c r="AC7" s="286">
        <v>9.86</v>
      </c>
    </row>
    <row r="8" spans="2:29" ht="15.5" x14ac:dyDescent="0.35">
      <c r="B8" s="285">
        <v>46160</v>
      </c>
      <c r="C8" s="284">
        <v>979.49</v>
      </c>
      <c r="AB8" s="285">
        <v>46167</v>
      </c>
      <c r="AC8" s="286">
        <v>10.08</v>
      </c>
    </row>
    <row r="9" spans="2:29" ht="15.5" x14ac:dyDescent="0.35">
      <c r="B9" s="285">
        <v>46161</v>
      </c>
      <c r="C9" s="284">
        <v>1010.54</v>
      </c>
      <c r="AB9" s="285">
        <v>46168</v>
      </c>
      <c r="AC9" s="286">
        <v>9.41</v>
      </c>
    </row>
    <row r="10" spans="2:29" ht="15.5" x14ac:dyDescent="0.35">
      <c r="B10" s="285">
        <v>46162</v>
      </c>
      <c r="C10" s="284">
        <v>1000.72</v>
      </c>
      <c r="AB10" s="285">
        <v>46169</v>
      </c>
      <c r="AC10" s="286">
        <v>9.43</v>
      </c>
    </row>
    <row r="11" spans="2:29" ht="15.5" x14ac:dyDescent="0.35">
      <c r="B11" s="285">
        <v>46163</v>
      </c>
      <c r="C11" s="284">
        <v>1002.25</v>
      </c>
      <c r="AB11" s="285">
        <v>46171</v>
      </c>
      <c r="AC11" s="286">
        <v>9.33</v>
      </c>
    </row>
    <row r="12" spans="2:29" ht="15.5" x14ac:dyDescent="0.35">
      <c r="B12" s="285">
        <v>46164</v>
      </c>
      <c r="C12" s="284">
        <v>999.5</v>
      </c>
      <c r="AB12" s="285">
        <v>46174</v>
      </c>
      <c r="AC12" s="286">
        <v>9.76</v>
      </c>
    </row>
    <row r="13" spans="2:29" ht="15.5" x14ac:dyDescent="0.35">
      <c r="B13" s="285">
        <v>46167</v>
      </c>
      <c r="C13" s="284">
        <v>1025.75</v>
      </c>
      <c r="AB13" s="285">
        <v>46175</v>
      </c>
      <c r="AC13" s="286">
        <v>10.029999999999999</v>
      </c>
    </row>
    <row r="14" spans="2:29" ht="15.5" x14ac:dyDescent="0.35">
      <c r="B14" s="285">
        <v>46168</v>
      </c>
      <c r="C14" s="284">
        <v>996.8</v>
      </c>
      <c r="AB14" s="285">
        <v>46176</v>
      </c>
      <c r="AC14" s="286">
        <v>9.92</v>
      </c>
    </row>
    <row r="15" spans="2:29" ht="15.5" x14ac:dyDescent="0.35">
      <c r="B15" s="285">
        <v>46169</v>
      </c>
      <c r="C15" s="284">
        <v>1001.71</v>
      </c>
      <c r="AB15" s="285">
        <v>46177</v>
      </c>
      <c r="AC15" s="286">
        <v>9.9700000000000006</v>
      </c>
    </row>
    <row r="16" spans="2:29" ht="15.5" x14ac:dyDescent="0.35">
      <c r="B16" s="285">
        <v>46171</v>
      </c>
      <c r="C16" s="284">
        <v>992.02</v>
      </c>
      <c r="AB16" s="285">
        <v>46178</v>
      </c>
      <c r="AC16" s="286">
        <v>9.9600000000000009</v>
      </c>
    </row>
    <row r="17" spans="2:29" ht="15.5" x14ac:dyDescent="0.35">
      <c r="B17" s="285">
        <v>46174</v>
      </c>
      <c r="C17" s="284">
        <v>983.87</v>
      </c>
      <c r="AB17" s="285">
        <v>46181</v>
      </c>
      <c r="AC17" s="286">
        <v>9.8800000000000008</v>
      </c>
    </row>
    <row r="18" spans="2:29" ht="15.5" x14ac:dyDescent="0.35">
      <c r="B18" s="285">
        <v>46175</v>
      </c>
      <c r="C18" s="284">
        <v>1012.53</v>
      </c>
      <c r="AB18" s="285">
        <v>46182</v>
      </c>
      <c r="AC18" s="286">
        <v>10.27</v>
      </c>
    </row>
    <row r="19" spans="2:29" ht="15.5" x14ac:dyDescent="0.35">
      <c r="B19" s="285">
        <v>46176</v>
      </c>
      <c r="C19" s="284">
        <v>998.76</v>
      </c>
      <c r="AB19" s="285">
        <v>46183</v>
      </c>
      <c r="AC19" s="286">
        <v>10.119999999999999</v>
      </c>
    </row>
    <row r="20" spans="2:29" ht="15.5" x14ac:dyDescent="0.35">
      <c r="B20" s="285">
        <v>46177</v>
      </c>
      <c r="C20" s="284">
        <v>1015.13</v>
      </c>
      <c r="AB20" s="285">
        <v>46184</v>
      </c>
      <c r="AC20" s="286">
        <v>9.9700000000000006</v>
      </c>
    </row>
    <row r="21" spans="2:29" ht="15.5" x14ac:dyDescent="0.35">
      <c r="B21" s="285">
        <v>46178</v>
      </c>
      <c r="C21" s="284">
        <v>1001.7</v>
      </c>
      <c r="AB21" s="285">
        <v>46185</v>
      </c>
      <c r="AC21" s="286">
        <v>10.23</v>
      </c>
    </row>
    <row r="22" spans="2:29" ht="15.5" x14ac:dyDescent="0.35">
      <c r="B22" s="285">
        <v>46181</v>
      </c>
      <c r="C22" s="284">
        <v>996.02</v>
      </c>
      <c r="AB22" s="285">
        <v>46188</v>
      </c>
      <c r="AC22" s="286">
        <v>9.7200000000000006</v>
      </c>
    </row>
    <row r="23" spans="2:29" ht="15.5" x14ac:dyDescent="0.35">
      <c r="B23" s="285">
        <v>46182</v>
      </c>
      <c r="C23" s="286">
        <v>1031.04</v>
      </c>
      <c r="AB23" s="285">
        <v>46189</v>
      </c>
      <c r="AC23" s="286">
        <v>9.7200000000000006</v>
      </c>
    </row>
    <row r="24" spans="2:29" ht="15.5" x14ac:dyDescent="0.35">
      <c r="B24" s="285">
        <v>46183</v>
      </c>
      <c r="C24" s="286">
        <v>989.65</v>
      </c>
      <c r="AB24" s="285">
        <v>46190</v>
      </c>
      <c r="AC24" s="286">
        <v>10</v>
      </c>
    </row>
    <row r="25" spans="2:29" ht="15.5" x14ac:dyDescent="0.35">
      <c r="B25" s="285">
        <v>46184</v>
      </c>
      <c r="C25" s="286">
        <v>992.31</v>
      </c>
      <c r="AB25" s="285">
        <v>46191</v>
      </c>
      <c r="AC25" s="286">
        <v>9.99</v>
      </c>
    </row>
    <row r="26" spans="2:29" ht="15.5" x14ac:dyDescent="0.35">
      <c r="B26" s="285">
        <v>46185</v>
      </c>
      <c r="C26" s="286">
        <v>1009</v>
      </c>
      <c r="AB26" s="285">
        <v>46192</v>
      </c>
      <c r="AC26" s="286">
        <v>9.94</v>
      </c>
    </row>
    <row r="27" spans="2:29" ht="15.5" x14ac:dyDescent="0.35">
      <c r="B27" s="285">
        <v>46188</v>
      </c>
      <c r="C27" s="286">
        <v>1005.89</v>
      </c>
      <c r="AB27" s="285">
        <v>46195</v>
      </c>
      <c r="AC27" s="286">
        <v>10.59</v>
      </c>
    </row>
    <row r="28" spans="2:29" ht="15.5" x14ac:dyDescent="0.35">
      <c r="B28" s="285">
        <v>46189</v>
      </c>
      <c r="C28" s="286">
        <v>997.15</v>
      </c>
      <c r="AB28" s="285">
        <v>46196</v>
      </c>
      <c r="AC28" s="286">
        <v>10.4</v>
      </c>
    </row>
    <row r="29" spans="2:29" ht="15.5" x14ac:dyDescent="0.35">
      <c r="B29" s="285">
        <v>46190</v>
      </c>
      <c r="C29" s="286">
        <v>1017.69</v>
      </c>
      <c r="AB29" s="285">
        <v>46197</v>
      </c>
      <c r="AC29" s="286">
        <v>10.43</v>
      </c>
    </row>
    <row r="30" spans="2:29" ht="15.5" x14ac:dyDescent="0.35">
      <c r="B30" s="285">
        <v>46191</v>
      </c>
      <c r="C30" s="286">
        <v>1008.36</v>
      </c>
      <c r="AB30" s="285">
        <v>46198</v>
      </c>
      <c r="AC30" s="286">
        <v>10.39</v>
      </c>
    </row>
    <row r="31" spans="2:29" ht="15.5" x14ac:dyDescent="0.35">
      <c r="B31" s="285">
        <v>46192</v>
      </c>
      <c r="C31" s="286">
        <v>1000.69</v>
      </c>
      <c r="AB31" s="285">
        <v>46202</v>
      </c>
      <c r="AC31" s="286">
        <v>10.36</v>
      </c>
    </row>
    <row r="32" spans="2:29" ht="15.5" x14ac:dyDescent="0.35">
      <c r="B32" s="285">
        <v>46195</v>
      </c>
      <c r="C32" s="286">
        <v>1004.92</v>
      </c>
      <c r="AB32" s="285">
        <v>46203</v>
      </c>
      <c r="AC32" s="286">
        <v>10.3</v>
      </c>
    </row>
    <row r="33" spans="2:30" ht="15.5" x14ac:dyDescent="0.35">
      <c r="B33" s="285">
        <v>46196</v>
      </c>
      <c r="C33" s="286">
        <v>982.18399999999997</v>
      </c>
      <c r="AB33" s="285">
        <v>46204</v>
      </c>
      <c r="AC33" s="286">
        <v>10.34</v>
      </c>
    </row>
    <row r="34" spans="2:30" ht="15.5" x14ac:dyDescent="0.35">
      <c r="B34" s="285">
        <v>46197</v>
      </c>
      <c r="C34" s="286">
        <v>1005.86</v>
      </c>
      <c r="AB34" s="285">
        <v>46205</v>
      </c>
      <c r="AC34" s="286">
        <v>10.4</v>
      </c>
    </row>
    <row r="35" spans="2:30" ht="15.5" x14ac:dyDescent="0.35">
      <c r="B35" s="285">
        <v>46198</v>
      </c>
      <c r="C35" s="286">
        <v>1003.11</v>
      </c>
      <c r="AB35" s="285">
        <v>46206</v>
      </c>
      <c r="AC35" s="286">
        <v>10.19</v>
      </c>
    </row>
    <row r="36" spans="2:30" ht="15.5" x14ac:dyDescent="0.35">
      <c r="B36" s="285">
        <v>46202</v>
      </c>
      <c r="C36" s="286">
        <v>993.75</v>
      </c>
      <c r="AB36" s="285">
        <v>46209</v>
      </c>
      <c r="AC36" s="286">
        <v>10.08</v>
      </c>
    </row>
    <row r="37" spans="2:30" ht="15.5" x14ac:dyDescent="0.35">
      <c r="B37" s="285">
        <v>46203</v>
      </c>
      <c r="C37" s="286">
        <v>990.4</v>
      </c>
      <c r="AB37" s="285">
        <v>46210</v>
      </c>
      <c r="AC37" s="286">
        <v>10</v>
      </c>
    </row>
    <row r="38" spans="2:30" ht="15.5" x14ac:dyDescent="0.35">
      <c r="B38" s="285">
        <v>46204</v>
      </c>
      <c r="C38" s="286">
        <v>1007.44</v>
      </c>
      <c r="AB38" s="285">
        <v>46211</v>
      </c>
      <c r="AC38" s="286">
        <v>9.74</v>
      </c>
    </row>
    <row r="39" spans="2:30" ht="15.5" x14ac:dyDescent="0.35">
      <c r="B39" s="285">
        <v>46205</v>
      </c>
      <c r="C39" s="286">
        <v>1001.87</v>
      </c>
      <c r="AB39" s="285">
        <v>46212</v>
      </c>
      <c r="AC39" s="286">
        <v>9.91</v>
      </c>
    </row>
    <row r="40" spans="2:30" ht="15.5" x14ac:dyDescent="0.35">
      <c r="B40" s="285">
        <v>46206</v>
      </c>
      <c r="C40" s="286">
        <v>1005.94</v>
      </c>
      <c r="AB40" s="285">
        <v>46213</v>
      </c>
      <c r="AC40" s="286">
        <v>10.18</v>
      </c>
    </row>
    <row r="41" spans="2:30" ht="15.5" x14ac:dyDescent="0.35">
      <c r="B41" s="285">
        <v>46209</v>
      </c>
      <c r="C41" s="286">
        <v>994.38</v>
      </c>
      <c r="AC41" s="286"/>
    </row>
    <row r="42" spans="2:30" ht="15.5" x14ac:dyDescent="0.35">
      <c r="B42" s="285">
        <v>46210</v>
      </c>
      <c r="C42" s="286">
        <v>997.22</v>
      </c>
    </row>
    <row r="43" spans="2:30" ht="15.5" x14ac:dyDescent="0.35">
      <c r="B43" s="285">
        <v>46211</v>
      </c>
      <c r="C43" s="286">
        <v>975.23</v>
      </c>
    </row>
    <row r="44" spans="2:30" ht="15.5" x14ac:dyDescent="0.35">
      <c r="B44" s="285">
        <v>46212</v>
      </c>
      <c r="C44" s="286">
        <v>1013.62</v>
      </c>
    </row>
    <row r="45" spans="2:30" ht="15.5" x14ac:dyDescent="0.35">
      <c r="B45" s="285">
        <v>46213</v>
      </c>
      <c r="C45" s="286">
        <v>1019.05</v>
      </c>
    </row>
    <row r="46" spans="2:30" x14ac:dyDescent="0.35">
      <c r="C46" s="224"/>
    </row>
    <row r="48" spans="2:30" x14ac:dyDescent="0.35">
      <c r="AD48" s="28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EF82-2721-478F-97EF-D499F3585173}">
  <dimension ref="B2:Z64"/>
  <sheetViews>
    <sheetView zoomScale="45" zoomScaleNormal="68" workbookViewId="0"/>
  </sheetViews>
  <sheetFormatPr defaultRowHeight="14.5" x14ac:dyDescent="0.35"/>
  <sheetData>
    <row r="2" spans="2:26" ht="15" thickBot="1" x14ac:dyDescent="0.4"/>
    <row r="3" spans="2:26" ht="20.5" customHeight="1" x14ac:dyDescent="0.35">
      <c r="B3" s="365" t="s">
        <v>118</v>
      </c>
      <c r="C3" s="366"/>
      <c r="D3" s="366"/>
      <c r="E3" s="366"/>
      <c r="F3" s="366"/>
      <c r="G3" s="366"/>
      <c r="H3" s="366"/>
      <c r="I3" s="366"/>
      <c r="J3" s="366"/>
      <c r="K3" s="366"/>
      <c r="L3" s="366"/>
      <c r="M3" s="366"/>
      <c r="N3" s="366"/>
      <c r="O3" s="366"/>
      <c r="P3" s="366"/>
      <c r="Q3" s="366"/>
      <c r="R3" s="366"/>
      <c r="S3" s="366"/>
      <c r="T3" s="366"/>
      <c r="U3" s="366"/>
      <c r="V3" s="366"/>
      <c r="W3" s="366"/>
      <c r="X3" s="366"/>
      <c r="Y3" s="366"/>
      <c r="Z3" s="367"/>
    </row>
    <row r="4" spans="2:26" ht="17.5" customHeight="1" thickBot="1" x14ac:dyDescent="0.4">
      <c r="B4" s="368"/>
      <c r="C4" s="369"/>
      <c r="D4" s="369"/>
      <c r="E4" s="369"/>
      <c r="F4" s="369"/>
      <c r="G4" s="369"/>
      <c r="H4" s="369"/>
      <c r="I4" s="369"/>
      <c r="J4" s="369"/>
      <c r="K4" s="369"/>
      <c r="L4" s="369"/>
      <c r="M4" s="369"/>
      <c r="N4" s="369"/>
      <c r="O4" s="369"/>
      <c r="P4" s="369"/>
      <c r="Q4" s="369"/>
      <c r="R4" s="369"/>
      <c r="S4" s="369"/>
      <c r="T4" s="369"/>
      <c r="U4" s="369"/>
      <c r="V4" s="369"/>
      <c r="W4" s="369"/>
      <c r="X4" s="369"/>
      <c r="Y4" s="369"/>
      <c r="Z4" s="370"/>
    </row>
    <row r="6" spans="2:26" x14ac:dyDescent="0.35">
      <c r="B6">
        <v>1</v>
      </c>
      <c r="J6">
        <v>2</v>
      </c>
      <c r="R6">
        <v>3</v>
      </c>
    </row>
    <row r="19" spans="2:25" x14ac:dyDescent="0.35">
      <c r="C19" s="371" t="s">
        <v>115</v>
      </c>
      <c r="D19" s="371"/>
      <c r="E19" s="371"/>
      <c r="F19" s="371"/>
      <c r="G19" s="371"/>
      <c r="H19" s="371"/>
      <c r="I19" s="371"/>
      <c r="K19" s="371" t="s">
        <v>133</v>
      </c>
      <c r="L19" s="371"/>
      <c r="M19" s="371"/>
      <c r="N19" s="371"/>
      <c r="O19" s="371"/>
      <c r="P19" s="371"/>
      <c r="Q19" s="371"/>
      <c r="S19" s="371" t="s">
        <v>116</v>
      </c>
      <c r="T19" s="371"/>
      <c r="U19" s="371"/>
      <c r="V19" s="371"/>
      <c r="W19" s="371"/>
      <c r="X19" s="371"/>
      <c r="Y19" s="371"/>
    </row>
    <row r="21" spans="2:25" x14ac:dyDescent="0.35">
      <c r="B21">
        <v>4</v>
      </c>
      <c r="J21">
        <v>5</v>
      </c>
      <c r="R21">
        <v>6</v>
      </c>
    </row>
    <row r="34" spans="2:25" x14ac:dyDescent="0.35">
      <c r="C34" s="371" t="s">
        <v>111</v>
      </c>
      <c r="D34" s="371"/>
      <c r="E34" s="371"/>
      <c r="F34" s="371"/>
      <c r="G34" s="371"/>
      <c r="H34" s="371"/>
      <c r="I34" s="371"/>
      <c r="K34" s="371" t="s">
        <v>109</v>
      </c>
      <c r="L34" s="371"/>
      <c r="M34" s="371"/>
      <c r="N34" s="371"/>
      <c r="O34" s="371"/>
      <c r="P34" s="371"/>
      <c r="Q34" s="371"/>
      <c r="S34" s="371" t="s">
        <v>114</v>
      </c>
      <c r="T34" s="371"/>
      <c r="U34" s="371"/>
      <c r="V34" s="371"/>
      <c r="W34" s="371"/>
      <c r="X34" s="371"/>
      <c r="Y34" s="371"/>
    </row>
    <row r="36" spans="2:25" x14ac:dyDescent="0.35">
      <c r="B36">
        <v>7</v>
      </c>
      <c r="J36">
        <v>8</v>
      </c>
      <c r="R36">
        <v>9</v>
      </c>
    </row>
    <row r="49" spans="2:25" x14ac:dyDescent="0.35">
      <c r="C49" s="371" t="s">
        <v>112</v>
      </c>
      <c r="D49" s="371"/>
      <c r="E49" s="371"/>
      <c r="F49" s="371"/>
      <c r="G49" s="371"/>
      <c r="H49" s="371"/>
      <c r="I49" s="371"/>
      <c r="K49" s="371" t="s">
        <v>163</v>
      </c>
      <c r="L49" s="371"/>
      <c r="M49" s="371"/>
      <c r="N49" s="371"/>
      <c r="O49" s="371"/>
      <c r="P49" s="371"/>
      <c r="Q49" s="371"/>
      <c r="S49" s="371" t="s">
        <v>161</v>
      </c>
      <c r="T49" s="371"/>
      <c r="U49" s="371"/>
      <c r="V49" s="371"/>
      <c r="W49" s="371"/>
      <c r="X49" s="371"/>
      <c r="Y49" s="371"/>
    </row>
    <row r="51" spans="2:25" x14ac:dyDescent="0.35">
      <c r="B51">
        <v>10</v>
      </c>
      <c r="J51">
        <v>11</v>
      </c>
      <c r="R51">
        <v>12</v>
      </c>
    </row>
    <row r="64" spans="2:25" x14ac:dyDescent="0.35">
      <c r="C64" s="371" t="s">
        <v>162</v>
      </c>
      <c r="D64" s="371"/>
      <c r="E64" s="371"/>
      <c r="F64" s="371"/>
      <c r="G64" s="371"/>
      <c r="H64" s="371"/>
      <c r="I64" s="371"/>
      <c r="K64" s="371" t="s">
        <v>110</v>
      </c>
      <c r="L64" s="371"/>
      <c r="M64" s="371"/>
      <c r="N64" s="371"/>
      <c r="O64" s="371"/>
      <c r="P64" s="371"/>
      <c r="Q64" s="371"/>
      <c r="S64" s="371" t="s">
        <v>113</v>
      </c>
      <c r="T64" s="371"/>
      <c r="U64" s="371"/>
      <c r="V64" s="371"/>
      <c r="W64" s="371"/>
      <c r="X64" s="371"/>
      <c r="Y64" s="371"/>
    </row>
  </sheetData>
  <mergeCells count="13">
    <mergeCell ref="B3:Z4"/>
    <mergeCell ref="S34:Y34"/>
    <mergeCell ref="K34:Q34"/>
    <mergeCell ref="K64:Q64"/>
    <mergeCell ref="C34:I34"/>
    <mergeCell ref="S64:Y64"/>
    <mergeCell ref="C49:I49"/>
    <mergeCell ref="C19:I19"/>
    <mergeCell ref="K19:Q19"/>
    <mergeCell ref="S19:Y19"/>
    <mergeCell ref="S49:Y49"/>
    <mergeCell ref="C64:I64"/>
    <mergeCell ref="K49:Q4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7E42-7F60-4215-89B4-8C0D7DC0411A}">
  <dimension ref="B2:Z68"/>
  <sheetViews>
    <sheetView zoomScale="72" zoomScaleNormal="72" workbookViewId="0"/>
  </sheetViews>
  <sheetFormatPr defaultRowHeight="14.5" x14ac:dyDescent="0.35"/>
  <sheetData>
    <row r="2" spans="2:26" ht="15" thickBot="1" x14ac:dyDescent="0.4"/>
    <row r="3" spans="2:26" ht="18" customHeight="1" x14ac:dyDescent="0.35">
      <c r="B3" s="372" t="s">
        <v>117</v>
      </c>
      <c r="C3" s="373"/>
      <c r="D3" s="373"/>
      <c r="E3" s="373"/>
      <c r="F3" s="373"/>
      <c r="G3" s="373"/>
      <c r="H3" s="373"/>
      <c r="I3" s="373"/>
      <c r="J3" s="373"/>
      <c r="K3" s="373"/>
      <c r="L3" s="373"/>
      <c r="M3" s="373"/>
      <c r="N3" s="373"/>
      <c r="O3" s="373"/>
      <c r="P3" s="373"/>
      <c r="Q3" s="373"/>
      <c r="R3" s="373"/>
      <c r="S3" s="373"/>
      <c r="T3" s="373"/>
      <c r="U3" s="373"/>
      <c r="V3" s="373"/>
      <c r="W3" s="373"/>
      <c r="X3" s="373"/>
      <c r="Y3" s="373"/>
      <c r="Z3" s="374"/>
    </row>
    <row r="4" spans="2:26" ht="19.5" customHeight="1" thickBot="1" x14ac:dyDescent="0.4">
      <c r="B4" s="375"/>
      <c r="C4" s="376"/>
      <c r="D4" s="376"/>
      <c r="E4" s="376"/>
      <c r="F4" s="376"/>
      <c r="G4" s="376"/>
      <c r="H4" s="376"/>
      <c r="I4" s="376"/>
      <c r="J4" s="376"/>
      <c r="K4" s="376"/>
      <c r="L4" s="376"/>
      <c r="M4" s="376"/>
      <c r="N4" s="376"/>
      <c r="O4" s="376"/>
      <c r="P4" s="376"/>
      <c r="Q4" s="376"/>
      <c r="R4" s="376"/>
      <c r="S4" s="376"/>
      <c r="T4" s="376"/>
      <c r="U4" s="376"/>
      <c r="V4" s="376"/>
      <c r="W4" s="376"/>
      <c r="X4" s="376"/>
      <c r="Y4" s="376"/>
      <c r="Z4" s="377"/>
    </row>
    <row r="6" spans="2:26" x14ac:dyDescent="0.35">
      <c r="B6">
        <v>1</v>
      </c>
      <c r="J6">
        <v>2</v>
      </c>
      <c r="R6">
        <v>3</v>
      </c>
    </row>
    <row r="20" spans="2:25" x14ac:dyDescent="0.35">
      <c r="C20" s="371" t="s">
        <v>115</v>
      </c>
      <c r="D20" s="371"/>
      <c r="E20" s="371"/>
      <c r="F20" s="371"/>
      <c r="G20" s="371"/>
      <c r="H20" s="371"/>
      <c r="I20" s="371"/>
      <c r="K20" s="371" t="s">
        <v>133</v>
      </c>
      <c r="L20" s="371"/>
      <c r="M20" s="371"/>
      <c r="N20" s="371"/>
      <c r="O20" s="371"/>
      <c r="P20" s="371"/>
      <c r="Q20" s="371"/>
      <c r="S20" s="371" t="s">
        <v>116</v>
      </c>
      <c r="T20" s="371"/>
      <c r="U20" s="371"/>
      <c r="V20" s="371"/>
      <c r="W20" s="371"/>
      <c r="X20" s="371"/>
      <c r="Y20" s="371"/>
    </row>
    <row r="22" spans="2:25" x14ac:dyDescent="0.35">
      <c r="B22">
        <v>4</v>
      </c>
      <c r="J22">
        <v>5</v>
      </c>
      <c r="R22">
        <v>6</v>
      </c>
    </row>
    <row r="36" spans="2:25" x14ac:dyDescent="0.35">
      <c r="C36" s="371" t="s">
        <v>111</v>
      </c>
      <c r="D36" s="371"/>
      <c r="E36" s="371"/>
      <c r="F36" s="371"/>
      <c r="G36" s="371"/>
      <c r="H36" s="371"/>
      <c r="I36" s="371"/>
      <c r="K36" s="371" t="s">
        <v>109</v>
      </c>
      <c r="L36" s="371"/>
      <c r="M36" s="371"/>
      <c r="N36" s="371"/>
      <c r="O36" s="371"/>
      <c r="P36" s="371"/>
      <c r="Q36" s="371"/>
      <c r="S36" s="371" t="s">
        <v>114</v>
      </c>
      <c r="T36" s="371"/>
      <c r="U36" s="371"/>
      <c r="V36" s="371"/>
      <c r="W36" s="371"/>
      <c r="X36" s="371"/>
      <c r="Y36" s="371"/>
    </row>
    <row r="38" spans="2:25" x14ac:dyDescent="0.35">
      <c r="B38">
        <v>7</v>
      </c>
      <c r="J38">
        <v>8</v>
      </c>
      <c r="R38">
        <v>9</v>
      </c>
    </row>
    <row r="52" spans="2:25" x14ac:dyDescent="0.35">
      <c r="C52" s="371" t="s">
        <v>112</v>
      </c>
      <c r="D52" s="371"/>
      <c r="E52" s="371"/>
      <c r="F52" s="371"/>
      <c r="G52" s="371"/>
      <c r="H52" s="371"/>
      <c r="I52" s="371"/>
      <c r="K52" s="371" t="s">
        <v>163</v>
      </c>
      <c r="L52" s="371"/>
      <c r="M52" s="371"/>
      <c r="N52" s="371"/>
      <c r="O52" s="371"/>
      <c r="P52" s="371"/>
      <c r="Q52" s="371"/>
      <c r="S52" s="371" t="s">
        <v>164</v>
      </c>
      <c r="T52" s="371"/>
      <c r="U52" s="371"/>
      <c r="V52" s="371"/>
      <c r="W52" s="371"/>
      <c r="X52" s="371"/>
      <c r="Y52" s="371"/>
    </row>
    <row r="54" spans="2:25" x14ac:dyDescent="0.35">
      <c r="B54">
        <v>10</v>
      </c>
      <c r="J54">
        <v>11</v>
      </c>
      <c r="R54">
        <v>12</v>
      </c>
    </row>
    <row r="68" spans="3:25" x14ac:dyDescent="0.35">
      <c r="C68" s="371" t="s">
        <v>162</v>
      </c>
      <c r="D68" s="371"/>
      <c r="E68" s="371"/>
      <c r="F68" s="371"/>
      <c r="G68" s="371"/>
      <c r="H68" s="371"/>
      <c r="I68" s="371"/>
      <c r="K68" s="371" t="s">
        <v>110</v>
      </c>
      <c r="L68" s="371"/>
      <c r="M68" s="371"/>
      <c r="N68" s="371"/>
      <c r="O68" s="371"/>
      <c r="P68" s="371"/>
      <c r="Q68" s="371"/>
      <c r="S68" s="371" t="s">
        <v>113</v>
      </c>
      <c r="T68" s="371"/>
      <c r="U68" s="371"/>
      <c r="V68" s="371"/>
      <c r="W68" s="371"/>
      <c r="X68" s="371"/>
      <c r="Y68" s="371"/>
    </row>
  </sheetData>
  <mergeCells count="13">
    <mergeCell ref="B3:Z4"/>
    <mergeCell ref="K36:Q36"/>
    <mergeCell ref="K68:Q68"/>
    <mergeCell ref="S68:Y68"/>
    <mergeCell ref="C20:I20"/>
    <mergeCell ref="S20:Y20"/>
    <mergeCell ref="S36:Y36"/>
    <mergeCell ref="C52:I52"/>
    <mergeCell ref="C36:I36"/>
    <mergeCell ref="K20:Q20"/>
    <mergeCell ref="C68:I68"/>
    <mergeCell ref="K52:Q52"/>
    <mergeCell ref="S52:Y5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16A5-6E21-450F-BE8E-D686271F6497}">
  <dimension ref="B2:Z65"/>
  <sheetViews>
    <sheetView zoomScale="52" zoomScaleNormal="88" workbookViewId="0"/>
  </sheetViews>
  <sheetFormatPr defaultRowHeight="14.5" x14ac:dyDescent="0.35"/>
  <sheetData>
    <row r="2" spans="2:26" ht="15" thickBot="1" x14ac:dyDescent="0.4"/>
    <row r="3" spans="2:26" ht="20" customHeight="1" x14ac:dyDescent="0.35">
      <c r="B3" s="378" t="s">
        <v>132</v>
      </c>
      <c r="C3" s="379"/>
      <c r="D3" s="379"/>
      <c r="E3" s="379"/>
      <c r="F3" s="379"/>
      <c r="G3" s="379"/>
      <c r="H3" s="379"/>
      <c r="I3" s="379"/>
      <c r="J3" s="379"/>
      <c r="K3" s="379"/>
      <c r="L3" s="379"/>
      <c r="M3" s="379"/>
      <c r="N3" s="379"/>
      <c r="O3" s="379"/>
      <c r="P3" s="379"/>
      <c r="Q3" s="379"/>
      <c r="R3" s="379"/>
      <c r="S3" s="379"/>
      <c r="T3" s="379"/>
      <c r="U3" s="379"/>
      <c r="V3" s="379"/>
      <c r="W3" s="379"/>
      <c r="X3" s="379"/>
      <c r="Y3" s="379"/>
      <c r="Z3" s="380"/>
    </row>
    <row r="4" spans="2:26" ht="25" customHeight="1" thickBot="1" x14ac:dyDescent="0.4">
      <c r="B4" s="381"/>
      <c r="C4" s="382"/>
      <c r="D4" s="382"/>
      <c r="E4" s="382"/>
      <c r="F4" s="382"/>
      <c r="G4" s="382"/>
      <c r="H4" s="382"/>
      <c r="I4" s="382"/>
      <c r="J4" s="382"/>
      <c r="K4" s="382"/>
      <c r="L4" s="382"/>
      <c r="M4" s="382"/>
      <c r="N4" s="382"/>
      <c r="O4" s="382"/>
      <c r="P4" s="382"/>
      <c r="Q4" s="382"/>
      <c r="R4" s="382"/>
      <c r="S4" s="382"/>
      <c r="T4" s="382"/>
      <c r="U4" s="382"/>
      <c r="V4" s="382"/>
      <c r="W4" s="382"/>
      <c r="X4" s="382"/>
      <c r="Y4" s="382"/>
      <c r="Z4" s="383"/>
    </row>
    <row r="7" spans="2:26" x14ac:dyDescent="0.35">
      <c r="B7">
        <v>1</v>
      </c>
      <c r="J7">
        <v>2</v>
      </c>
      <c r="R7">
        <v>3</v>
      </c>
    </row>
    <row r="20" spans="2:25" x14ac:dyDescent="0.35">
      <c r="C20" s="371" t="s">
        <v>115</v>
      </c>
      <c r="D20" s="371"/>
      <c r="E20" s="371"/>
      <c r="F20" s="371"/>
      <c r="G20" s="371"/>
      <c r="H20" s="371"/>
      <c r="I20" s="371"/>
      <c r="K20" s="371" t="s">
        <v>133</v>
      </c>
      <c r="L20" s="371"/>
      <c r="M20" s="371"/>
      <c r="N20" s="371"/>
      <c r="O20" s="371"/>
      <c r="P20" s="371"/>
      <c r="Q20" s="371"/>
      <c r="S20" s="371" t="s">
        <v>116</v>
      </c>
      <c r="T20" s="371"/>
      <c r="U20" s="371"/>
      <c r="V20" s="371"/>
      <c r="W20" s="371"/>
      <c r="X20" s="371"/>
      <c r="Y20" s="371"/>
    </row>
    <row r="22" spans="2:25" x14ac:dyDescent="0.35">
      <c r="B22">
        <v>4</v>
      </c>
      <c r="J22">
        <v>5</v>
      </c>
      <c r="R22">
        <v>6</v>
      </c>
    </row>
    <row r="35" spans="2:25" x14ac:dyDescent="0.35">
      <c r="C35" s="371" t="s">
        <v>111</v>
      </c>
      <c r="D35" s="371"/>
      <c r="E35" s="371"/>
      <c r="F35" s="371"/>
      <c r="G35" s="371"/>
      <c r="H35" s="371"/>
      <c r="I35" s="371"/>
      <c r="K35" s="371" t="s">
        <v>109</v>
      </c>
      <c r="L35" s="371"/>
      <c r="M35" s="371"/>
      <c r="N35" s="371"/>
      <c r="O35" s="371"/>
      <c r="P35" s="371"/>
      <c r="Q35" s="371"/>
      <c r="S35" s="371" t="s">
        <v>114</v>
      </c>
      <c r="T35" s="371"/>
      <c r="U35" s="371"/>
      <c r="V35" s="371"/>
      <c r="W35" s="371"/>
      <c r="X35" s="371"/>
      <c r="Y35" s="371"/>
    </row>
    <row r="37" spans="2:25" x14ac:dyDescent="0.35">
      <c r="B37">
        <v>7</v>
      </c>
      <c r="J37">
        <v>8</v>
      </c>
      <c r="R37">
        <v>9</v>
      </c>
    </row>
    <row r="50" spans="2:25" x14ac:dyDescent="0.35">
      <c r="C50" s="371" t="s">
        <v>112</v>
      </c>
      <c r="D50" s="371"/>
      <c r="E50" s="371"/>
      <c r="F50" s="371"/>
      <c r="G50" s="371"/>
      <c r="H50" s="371"/>
      <c r="I50" s="371"/>
      <c r="K50" s="371" t="s">
        <v>163</v>
      </c>
      <c r="L50" s="371"/>
      <c r="M50" s="371"/>
      <c r="N50" s="371"/>
      <c r="O50" s="371"/>
      <c r="P50" s="371"/>
      <c r="Q50" s="371"/>
      <c r="S50" s="371" t="s">
        <v>161</v>
      </c>
      <c r="T50" s="371"/>
      <c r="U50" s="371"/>
      <c r="V50" s="371"/>
      <c r="W50" s="371"/>
      <c r="X50" s="371"/>
      <c r="Y50" s="371"/>
    </row>
    <row r="52" spans="2:25" x14ac:dyDescent="0.35">
      <c r="B52">
        <v>10</v>
      </c>
      <c r="J52">
        <v>11</v>
      </c>
      <c r="R52">
        <v>12</v>
      </c>
    </row>
    <row r="65" spans="3:25" x14ac:dyDescent="0.35">
      <c r="C65" s="371" t="s">
        <v>162</v>
      </c>
      <c r="D65" s="371"/>
      <c r="E65" s="371"/>
      <c r="F65" s="371"/>
      <c r="G65" s="371"/>
      <c r="H65" s="371"/>
      <c r="I65" s="371"/>
      <c r="K65" s="371" t="s">
        <v>110</v>
      </c>
      <c r="L65" s="371"/>
      <c r="M65" s="371"/>
      <c r="N65" s="371"/>
      <c r="O65" s="371"/>
      <c r="P65" s="371"/>
      <c r="Q65" s="371"/>
      <c r="S65" s="371" t="s">
        <v>113</v>
      </c>
      <c r="T65" s="371"/>
      <c r="U65" s="371"/>
      <c r="V65" s="371"/>
      <c r="W65" s="371"/>
      <c r="X65" s="371"/>
      <c r="Y65" s="371"/>
    </row>
  </sheetData>
  <mergeCells count="13">
    <mergeCell ref="C35:I35"/>
    <mergeCell ref="S20:Y20"/>
    <mergeCell ref="S35:Y35"/>
    <mergeCell ref="B3:Z4"/>
    <mergeCell ref="K65:Q65"/>
    <mergeCell ref="S65:Y65"/>
    <mergeCell ref="K20:Q20"/>
    <mergeCell ref="C20:I20"/>
    <mergeCell ref="K35:Q35"/>
    <mergeCell ref="C50:I50"/>
    <mergeCell ref="K50:Q50"/>
    <mergeCell ref="S50:Y50"/>
    <mergeCell ref="C65:I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BB9A-3575-4192-93AD-646B14074AFC}">
  <dimension ref="A1:N17"/>
  <sheetViews>
    <sheetView tabSelected="1" zoomScale="74" zoomScaleNormal="74" workbookViewId="0">
      <pane xSplit="2" topLeftCell="C1" activePane="topRight" state="frozen"/>
      <selection pane="topRight"/>
    </sheetView>
  </sheetViews>
  <sheetFormatPr defaultRowHeight="15.5" x14ac:dyDescent="0.35"/>
  <cols>
    <col min="1" max="1" width="5.6328125" style="174" customWidth="1"/>
    <col min="2" max="2" width="28.54296875" style="174" customWidth="1"/>
    <col min="3" max="3" width="1.453125" style="174" customWidth="1"/>
    <col min="4" max="4" width="23.81640625" style="174" customWidth="1"/>
    <col min="5" max="5" width="19.08984375" style="174" bestFit="1" customWidth="1"/>
    <col min="6" max="6" width="21.81640625" style="174" customWidth="1"/>
    <col min="7" max="7" width="1.36328125" style="174" customWidth="1"/>
    <col min="8" max="8" width="22.08984375" style="174" customWidth="1"/>
    <col min="9" max="9" width="19.08984375" style="174" bestFit="1" customWidth="1"/>
    <col min="10" max="10" width="21.81640625" style="174" customWidth="1"/>
    <col min="11" max="11" width="1.26953125" style="174" customWidth="1"/>
    <col min="12" max="12" width="19.7265625" style="174" customWidth="1"/>
    <col min="13" max="13" width="19.08984375" style="174" bestFit="1" customWidth="1"/>
    <col min="14" max="14" width="21.81640625" style="174" bestFit="1" customWidth="1"/>
    <col min="15" max="16384" width="8.7265625" style="174"/>
  </cols>
  <sheetData>
    <row r="1" spans="1:14" ht="16" thickBot="1" x14ac:dyDescent="0.4"/>
    <row r="2" spans="1:14" ht="16" thickBot="1" x14ac:dyDescent="0.4">
      <c r="D2" s="384" t="s">
        <v>138</v>
      </c>
      <c r="E2" s="385"/>
      <c r="F2" s="386"/>
      <c r="H2" s="387" t="s">
        <v>146</v>
      </c>
      <c r="I2" s="388"/>
      <c r="J2" s="389"/>
      <c r="L2" s="390" t="s">
        <v>147</v>
      </c>
      <c r="M2" s="391"/>
      <c r="N2" s="392"/>
    </row>
    <row r="3" spans="1:14" ht="16" thickBot="1" x14ac:dyDescent="0.4"/>
    <row r="4" spans="1:14" ht="16" thickBot="1" x14ac:dyDescent="0.4">
      <c r="B4" s="176" t="s">
        <v>134</v>
      </c>
      <c r="D4" s="180" t="s">
        <v>135</v>
      </c>
      <c r="E4" s="181" t="s">
        <v>136</v>
      </c>
      <c r="F4" s="182" t="s">
        <v>137</v>
      </c>
      <c r="H4" s="189" t="s">
        <v>135</v>
      </c>
      <c r="I4" s="190" t="s">
        <v>136</v>
      </c>
      <c r="J4" s="191" t="s">
        <v>137</v>
      </c>
      <c r="L4" s="201" t="s">
        <v>135</v>
      </c>
      <c r="M4" s="202" t="s">
        <v>136</v>
      </c>
      <c r="N4" s="203" t="s">
        <v>137</v>
      </c>
    </row>
    <row r="5" spans="1:14" ht="16" thickBot="1" x14ac:dyDescent="0.4"/>
    <row r="6" spans="1:14" x14ac:dyDescent="0.35">
      <c r="A6" s="174">
        <v>1</v>
      </c>
      <c r="B6" s="177" t="s">
        <v>10</v>
      </c>
      <c r="C6" s="175"/>
      <c r="D6" s="183" t="s">
        <v>139</v>
      </c>
      <c r="E6" s="184" t="s">
        <v>140</v>
      </c>
      <c r="F6" s="185" t="s">
        <v>141</v>
      </c>
      <c r="H6" s="192" t="s">
        <v>148</v>
      </c>
      <c r="I6" s="193" t="s">
        <v>140</v>
      </c>
      <c r="J6" s="194" t="s">
        <v>141</v>
      </c>
      <c r="L6" s="204" t="s">
        <v>152</v>
      </c>
      <c r="M6" s="205" t="s">
        <v>140</v>
      </c>
      <c r="N6" s="206" t="s">
        <v>141</v>
      </c>
    </row>
    <row r="7" spans="1:14" x14ac:dyDescent="0.35">
      <c r="A7" s="174">
        <v>2</v>
      </c>
      <c r="B7" s="178" t="s">
        <v>11</v>
      </c>
      <c r="C7" s="175"/>
      <c r="D7" s="183" t="s">
        <v>143</v>
      </c>
      <c r="E7" s="184" t="s">
        <v>144</v>
      </c>
      <c r="F7" s="185" t="s">
        <v>145</v>
      </c>
      <c r="H7" s="195" t="s">
        <v>149</v>
      </c>
      <c r="I7" s="196" t="s">
        <v>144</v>
      </c>
      <c r="J7" s="197" t="s">
        <v>145</v>
      </c>
      <c r="L7" s="204" t="s">
        <v>151</v>
      </c>
      <c r="M7" s="205" t="s">
        <v>140</v>
      </c>
      <c r="N7" s="206" t="s">
        <v>141</v>
      </c>
    </row>
    <row r="8" spans="1:14" x14ac:dyDescent="0.35">
      <c r="A8" s="174">
        <v>3</v>
      </c>
      <c r="B8" s="178" t="s">
        <v>8</v>
      </c>
      <c r="C8" s="175"/>
      <c r="D8" s="183" t="s">
        <v>165</v>
      </c>
      <c r="E8" s="184" t="s">
        <v>144</v>
      </c>
      <c r="F8" s="185" t="s">
        <v>145</v>
      </c>
      <c r="H8" s="195" t="s">
        <v>149</v>
      </c>
      <c r="I8" s="196" t="s">
        <v>140</v>
      </c>
      <c r="J8" s="197" t="s">
        <v>141</v>
      </c>
      <c r="L8" s="204" t="s">
        <v>152</v>
      </c>
      <c r="M8" s="205" t="s">
        <v>140</v>
      </c>
      <c r="N8" s="206" t="s">
        <v>141</v>
      </c>
    </row>
    <row r="9" spans="1:14" x14ac:dyDescent="0.35">
      <c r="A9" s="174">
        <v>4</v>
      </c>
      <c r="B9" s="178" t="s">
        <v>3</v>
      </c>
      <c r="C9" s="175"/>
      <c r="D9" s="183" t="s">
        <v>142</v>
      </c>
      <c r="E9" s="184" t="s">
        <v>140</v>
      </c>
      <c r="F9" s="185" t="s">
        <v>141</v>
      </c>
      <c r="H9" s="195" t="s">
        <v>149</v>
      </c>
      <c r="I9" s="196" t="s">
        <v>140</v>
      </c>
      <c r="J9" s="197" t="s">
        <v>141</v>
      </c>
      <c r="L9" s="204" t="s">
        <v>150</v>
      </c>
      <c r="M9" s="205" t="s">
        <v>140</v>
      </c>
      <c r="N9" s="206" t="s">
        <v>141</v>
      </c>
    </row>
    <row r="10" spans="1:14" x14ac:dyDescent="0.35">
      <c r="A10" s="174">
        <v>5</v>
      </c>
      <c r="B10" s="178" t="s">
        <v>4</v>
      </c>
      <c r="C10" s="175"/>
      <c r="D10" s="183" t="s">
        <v>139</v>
      </c>
      <c r="E10" s="184" t="s">
        <v>140</v>
      </c>
      <c r="F10" s="185" t="s">
        <v>141</v>
      </c>
      <c r="H10" s="195" t="s">
        <v>148</v>
      </c>
      <c r="I10" s="196" t="s">
        <v>140</v>
      </c>
      <c r="J10" s="197" t="s">
        <v>141</v>
      </c>
      <c r="L10" s="204" t="s">
        <v>167</v>
      </c>
      <c r="M10" s="205" t="s">
        <v>144</v>
      </c>
      <c r="N10" s="206" t="s">
        <v>145</v>
      </c>
    </row>
    <row r="11" spans="1:14" x14ac:dyDescent="0.35">
      <c r="A11" s="174">
        <v>6</v>
      </c>
      <c r="B11" s="178" t="s">
        <v>7</v>
      </c>
      <c r="C11" s="175"/>
      <c r="D11" s="183" t="s">
        <v>143</v>
      </c>
      <c r="E11" s="184" t="s">
        <v>144</v>
      </c>
      <c r="F11" s="185" t="s">
        <v>145</v>
      </c>
      <c r="H11" s="195" t="s">
        <v>149</v>
      </c>
      <c r="I11" s="196" t="s">
        <v>140</v>
      </c>
      <c r="J11" s="197" t="s">
        <v>141</v>
      </c>
      <c r="L11" s="204" t="s">
        <v>151</v>
      </c>
      <c r="M11" s="205" t="s">
        <v>140</v>
      </c>
      <c r="N11" s="206" t="s">
        <v>141</v>
      </c>
    </row>
    <row r="12" spans="1:14" x14ac:dyDescent="0.35">
      <c r="A12" s="174">
        <v>7</v>
      </c>
      <c r="B12" s="178" t="s">
        <v>13</v>
      </c>
      <c r="C12" s="175"/>
      <c r="D12" s="183" t="s">
        <v>142</v>
      </c>
      <c r="E12" s="184" t="s">
        <v>140</v>
      </c>
      <c r="F12" s="185" t="s">
        <v>141</v>
      </c>
      <c r="H12" s="195" t="s">
        <v>166</v>
      </c>
      <c r="I12" s="196" t="s">
        <v>140</v>
      </c>
      <c r="J12" s="197" t="s">
        <v>141</v>
      </c>
      <c r="L12" s="204" t="s">
        <v>150</v>
      </c>
      <c r="M12" s="205" t="s">
        <v>140</v>
      </c>
      <c r="N12" s="206" t="s">
        <v>141</v>
      </c>
    </row>
    <row r="13" spans="1:14" x14ac:dyDescent="0.35">
      <c r="A13" s="174">
        <v>8</v>
      </c>
      <c r="B13" s="178" t="s">
        <v>9</v>
      </c>
      <c r="C13" s="175"/>
      <c r="D13" s="183" t="s">
        <v>165</v>
      </c>
      <c r="E13" s="184" t="s">
        <v>144</v>
      </c>
      <c r="F13" s="185" t="s">
        <v>145</v>
      </c>
      <c r="H13" s="195" t="s">
        <v>168</v>
      </c>
      <c r="I13" s="196" t="s">
        <v>140</v>
      </c>
      <c r="J13" s="197" t="s">
        <v>141</v>
      </c>
      <c r="L13" s="204" t="s">
        <v>150</v>
      </c>
      <c r="M13" s="205" t="s">
        <v>140</v>
      </c>
      <c r="N13" s="206" t="s">
        <v>141</v>
      </c>
    </row>
    <row r="14" spans="1:14" x14ac:dyDescent="0.35">
      <c r="A14" s="174">
        <v>9</v>
      </c>
      <c r="B14" s="178" t="s">
        <v>14</v>
      </c>
      <c r="C14" s="175"/>
      <c r="D14" s="183" t="s">
        <v>139</v>
      </c>
      <c r="E14" s="184" t="s">
        <v>140</v>
      </c>
      <c r="F14" s="185" t="s">
        <v>141</v>
      </c>
      <c r="H14" s="195" t="s">
        <v>168</v>
      </c>
      <c r="I14" s="196" t="s">
        <v>140</v>
      </c>
      <c r="J14" s="197" t="s">
        <v>141</v>
      </c>
      <c r="L14" s="204" t="s">
        <v>169</v>
      </c>
      <c r="M14" s="205" t="s">
        <v>140</v>
      </c>
      <c r="N14" s="206" t="s">
        <v>141</v>
      </c>
    </row>
    <row r="15" spans="1:14" x14ac:dyDescent="0.35">
      <c r="A15" s="174">
        <v>10</v>
      </c>
      <c r="B15" s="178" t="s">
        <v>12</v>
      </c>
      <c r="C15" s="175"/>
      <c r="D15" s="183" t="s">
        <v>170</v>
      </c>
      <c r="E15" s="184" t="s">
        <v>140</v>
      </c>
      <c r="F15" s="185" t="s">
        <v>141</v>
      </c>
      <c r="H15" s="195" t="s">
        <v>149</v>
      </c>
      <c r="I15" s="196" t="s">
        <v>140</v>
      </c>
      <c r="J15" s="197" t="s">
        <v>141</v>
      </c>
      <c r="L15" s="204" t="s">
        <v>169</v>
      </c>
      <c r="M15" s="205" t="s">
        <v>140</v>
      </c>
      <c r="N15" s="206" t="s">
        <v>141</v>
      </c>
    </row>
    <row r="16" spans="1:14" x14ac:dyDescent="0.35">
      <c r="A16" s="174">
        <v>11</v>
      </c>
      <c r="B16" s="178" t="s">
        <v>6</v>
      </c>
      <c r="C16" s="175"/>
      <c r="D16" s="183" t="s">
        <v>142</v>
      </c>
      <c r="E16" s="184" t="s">
        <v>140</v>
      </c>
      <c r="F16" s="185" t="s">
        <v>141</v>
      </c>
      <c r="H16" s="195" t="s">
        <v>149</v>
      </c>
      <c r="I16" s="196" t="s">
        <v>144</v>
      </c>
      <c r="J16" s="197" t="s">
        <v>145</v>
      </c>
      <c r="L16" s="204" t="s">
        <v>153</v>
      </c>
      <c r="M16" s="205" t="s">
        <v>140</v>
      </c>
      <c r="N16" s="206" t="s">
        <v>141</v>
      </c>
    </row>
    <row r="17" spans="1:14" ht="16" thickBot="1" x14ac:dyDescent="0.4">
      <c r="A17" s="174">
        <v>12</v>
      </c>
      <c r="B17" s="179" t="s">
        <v>5</v>
      </c>
      <c r="C17" s="175"/>
      <c r="D17" s="186" t="s">
        <v>143</v>
      </c>
      <c r="E17" s="187" t="s">
        <v>144</v>
      </c>
      <c r="F17" s="188" t="s">
        <v>145</v>
      </c>
      <c r="H17" s="198" t="s">
        <v>148</v>
      </c>
      <c r="I17" s="199" t="s">
        <v>144</v>
      </c>
      <c r="J17" s="200" t="s">
        <v>145</v>
      </c>
      <c r="L17" s="207" t="s">
        <v>150</v>
      </c>
      <c r="M17" s="208" t="s">
        <v>140</v>
      </c>
      <c r="N17" s="209" t="s">
        <v>141</v>
      </c>
    </row>
  </sheetData>
  <mergeCells count="3">
    <mergeCell ref="D2:F2"/>
    <mergeCell ref="H2:J2"/>
    <mergeCell ref="L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Banking Sector - PSU</vt:lpstr>
      <vt:lpstr>RATIOS</vt:lpstr>
      <vt:lpstr>Co's Over-Under Valued</vt:lpstr>
      <vt:lpstr>SECTOR FUND &amp; AUM</vt:lpstr>
      <vt:lpstr>INDEX &amp; NAV</vt:lpstr>
      <vt:lpstr>WORKING</vt:lpstr>
      <vt:lpstr>TechnicalAnalysis_LongTerm</vt:lpstr>
      <vt:lpstr>TechnicalAnalysis_SwingTrading</vt:lpstr>
      <vt:lpstr>TechnicalAnalysis_Short Term</vt:lpstr>
      <vt:lpstr>TechnicalAnalysis_Conclusion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khuram2702@gmail.com</cp:lastModifiedBy>
  <dcterms:created xsi:type="dcterms:W3CDTF">2026-04-30T09:05:56Z</dcterms:created>
  <dcterms:modified xsi:type="dcterms:W3CDTF">2026-10-04T18:03:18Z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PowerLiteLastOptimized">
    <vt:lpwstr>934194</vt:lpwstr>
  </property>
  <property fmtid="{D5CDD505-2E9C-101B-9397-08002B2CF9AE}" pid="3" name="NXPowerLiteSettings">
    <vt:lpwstr>E7000400038000</vt:lpwstr>
  </property>
  <property fmtid="{D5CDD505-2E9C-101B-9397-08002B2CF9AE}" pid="4" name="NXPowerLiteVersion">
    <vt:lpwstr>S11.0.1</vt:lpwstr>
  </property>
</Properties>
</file>